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Results'!$A$8:$I$29</definedName>
    <definedName name="_xlnm._FilterDatabase" localSheetId="1" hidden="1">'2026-27'!$A$8:$L$167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SUM(F9:F29)</f>
        <v/>
      </c>
      <c r="C5" s="5">
        <f>IFERROR(COUNTIF(G9:G29,"W")/(COUNTIF(G9:G29,"W")+COUNTIF(G9:G29,"L")),"")</f>
        <v/>
      </c>
      <c r="E5" s="6">
        <f>COUNTIF(G9:G29,"W")&amp;"-"&amp;COUNTIF(G9:G29,"L")</f>
        <v/>
      </c>
      <c r="G5" s="7">
        <f>COUNTIF(G9:G29,"W")+COUNTIF(G9:G29,"L")</f>
        <v/>
      </c>
      <c r="I5" s="7">
        <f>COUNTA(B9:B29)-COUNTIF(G9:G29,"W")-COUNTIF(G9:G29,"L")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/>
      <c r="H28" s="10" t="inlineStr"/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/>
      <c r="H29" s="10" t="inlineStr"/>
      <c r="I29" s="10" t="inlineStr">
        <is>
          <t>Bet the pick when it has a line from -198 to +150 and a differential of 14.61 or less; home or away.</t>
        </is>
      </c>
    </row>
  </sheetData>
  <autoFilter ref="A8:I2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SUM(H9:H167)</f>
        <v/>
      </c>
      <c r="C5" s="5">
        <f>IFERROR(COUNTIF(I9:I167,"W")/(COUNTIF(I9:I167,"W")+COUNTIF(I9:I167,"L")),"")</f>
        <v/>
      </c>
      <c r="E5" s="6">
        <f>COUNTIF(I9:I167,"W")&amp;"-"&amp;COUNTIF(I9:I167,"L")</f>
        <v/>
      </c>
      <c r="G5" s="7">
        <f>COUNTIF(I9:I167,"W")+COUNTIF(I9:I167,"L")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/>
      <c r="J164" s="10" t="inlineStr"/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/>
      <c r="J165" s="10" t="inlineStr"/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/>
      <c r="J166" s="10" t="inlineStr"/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/>
      <c r="J167" s="10" t="inlineStr"/>
      <c r="K167" s="10" t="inlineStr">
        <is>
          <t>DraftKings at pick time (4:30 PM CT)</t>
        </is>
      </c>
      <c r="L167" s="11" t="inlineStr">
        <is>
          <t>Yes</t>
        </is>
      </c>
    </row>
  </sheetData>
  <autoFilter ref="A8:L16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6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2026-10-28 16:30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2026-10-28T21:30:30Z</dcterms:created>
  <dcterms:modified xsi:type="dcterms:W3CDTF">2026-10-28T21:30:31Z</dcterms:modified>
</cp:coreProperties>
</file>