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Results'!$A$8:$I$33</definedName>
    <definedName name="_xlnm._FilterDatabase" localSheetId="1" hidden="1">'2026-27'!$A$8:$L$178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SUM(F9:F33)</f>
        <v/>
      </c>
      <c r="C5" s="5">
        <f>IFERROR(COUNTIF(G9:G33,"W")/(COUNTIF(G9:G33,"W")+COUNTIF(G9:G33,"L")),"")</f>
        <v/>
      </c>
      <c r="E5" s="6">
        <f>COUNTIF(G9:G33,"W")&amp;"-"&amp;COUNTIF(G9:G33,"L")</f>
        <v/>
      </c>
      <c r="G5" s="7">
        <f>COUNTIF(G9:G33,"W")+COUNTIF(G9:G33,"L")</f>
        <v/>
      </c>
      <c r="I5" s="7">
        <f>COUNTA(B9:B33)-COUNTIF(G9:G33,"W")-COUNTIF(G9:G33,"L")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>
        <is>
          <t>L</t>
        </is>
      </c>
      <c r="H17" s="10" t="inlineStr">
        <is>
          <t>ANA 5, PHI 4</t>
        </is>
      </c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>
        <is>
          <t>W</t>
        </is>
      </c>
      <c r="H18" s="10" t="inlineStr">
        <is>
          <t>LAK 1, NJD 3</t>
        </is>
      </c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>
        <is>
          <t>W</t>
        </is>
      </c>
      <c r="H19" s="10" t="inlineStr">
        <is>
          <t>NYR 4, OTT 7</t>
        </is>
      </c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>
        <is>
          <t>W</t>
        </is>
      </c>
      <c r="H20" s="10" t="inlineStr">
        <is>
          <t>BUF 3, WSH 4</t>
        </is>
      </c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>
        <is>
          <t>W</t>
        </is>
      </c>
      <c r="H21" s="10" t="inlineStr">
        <is>
          <t>TBL 4, UTA 5</t>
        </is>
      </c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>
        <is>
          <t>W</t>
        </is>
      </c>
      <c r="H22" s="10" t="inlineStr">
        <is>
          <t>MIN 5, SEA 1</t>
        </is>
      </c>
      <c r="I22" s="10" t="inlineStr">
        <is>
          <t>Bet the pick when it has any line up to +110 and a differential of 19.38 or less; home or away.</t>
        </is>
      </c>
    </row>
    <row r="23">
      <c r="A23" s="9" t="n">
        <v>46320</v>
      </c>
      <c r="B23" s="10" t="inlineStr">
        <is>
          <t>FLA @ CHI</t>
        </is>
      </c>
      <c r="C23" s="11" t="inlineStr">
        <is>
          <t>FLA</t>
        </is>
      </c>
      <c r="D23" s="12" t="n">
        <v>-185</v>
      </c>
      <c r="E23" s="13" t="n">
        <v>3.02</v>
      </c>
      <c r="F23" s="14">
        <f>IF(AND(G23&lt;&gt;"W",G23&lt;&gt;"L"),"",IF(G23="W",IF(D23&gt;0,D23/100,1),IF(D23&lt;0,D23/100,-1)))</f>
        <v/>
      </c>
      <c r="G23" s="11" t="inlineStr">
        <is>
          <t>W</t>
        </is>
      </c>
      <c r="H23" s="10" t="inlineStr">
        <is>
          <t>FLA 3, CHI 2</t>
        </is>
      </c>
      <c r="I23" s="10" t="inlineStr">
        <is>
          <t>Bet the pick when it has a line from -198 to +150 and a differential of 14.61 or less; home or away.</t>
        </is>
      </c>
    </row>
    <row r="24">
      <c r="A24" s="9" t="n">
        <v>46320</v>
      </c>
      <c r="B24" s="10" t="inlineStr">
        <is>
          <t>NYI @ DAL</t>
        </is>
      </c>
      <c r="C24" s="11" t="inlineStr">
        <is>
          <t>DAL</t>
        </is>
      </c>
      <c r="D24" s="12" t="n">
        <v>-198</v>
      </c>
      <c r="E24" s="13" t="n">
        <v>12.71</v>
      </c>
      <c r="F24" s="14">
        <f>IF(AND(G24&lt;&gt;"W",G24&lt;&gt;"L"),"",IF(G24="W",IF(D24&gt;0,D24/100,1),IF(D24&lt;0,D24/100,-1)))</f>
        <v/>
      </c>
      <c r="G24" s="11" t="inlineStr">
        <is>
          <t>W</t>
        </is>
      </c>
      <c r="H24" s="10" t="inlineStr">
        <is>
          <t>NYI 3, DAL 6</t>
        </is>
      </c>
      <c r="I24" s="10" t="inlineStr">
        <is>
          <t>Bet the pick when it has a line from -198 to +150 and a differential of 14.61 or less; home or away.</t>
        </is>
      </c>
    </row>
    <row r="25">
      <c r="A25" s="9" t="n">
        <v>46321</v>
      </c>
      <c r="B25" s="10" t="inlineStr">
        <is>
          <t>LAK @ NYR</t>
        </is>
      </c>
      <c r="C25" s="11" t="inlineStr">
        <is>
          <t>NYR</t>
        </is>
      </c>
      <c r="D25" s="12" t="n">
        <v>-135</v>
      </c>
      <c r="E25" s="13" t="n">
        <v>12.83</v>
      </c>
      <c r="F25" s="14">
        <f>IF(AND(G25&lt;&gt;"W",G25&lt;&gt;"L"),"",IF(G25="W",IF(D25&gt;0,D25/100,1),IF(D25&lt;0,D25/100,-1)))</f>
        <v/>
      </c>
      <c r="G25" s="11" t="inlineStr">
        <is>
          <t>L</t>
        </is>
      </c>
      <c r="H25" s="10" t="inlineStr">
        <is>
          <t>LAK 6, NYR 3</t>
        </is>
      </c>
      <c r="I25" s="10" t="inlineStr">
        <is>
          <t>Bet the pick when it has a line from -198 to +150 and a differential of 14.61 or less; home or away.</t>
        </is>
      </c>
    </row>
    <row r="26">
      <c r="A26" s="9" t="n">
        <v>46321</v>
      </c>
      <c r="B26" s="10" t="inlineStr">
        <is>
          <t>TOR @ CGY</t>
        </is>
      </c>
      <c r="C26" s="11" t="inlineStr">
        <is>
          <t>TOR</t>
        </is>
      </c>
      <c r="D26" s="12" t="n">
        <v>-135</v>
      </c>
      <c r="E26" s="13" t="n">
        <v>10.3</v>
      </c>
      <c r="F26" s="14">
        <f>IF(AND(G26&lt;&gt;"W",G26&lt;&gt;"L"),"",IF(G26="W",IF(D26&gt;0,D26/100,1),IF(D26&lt;0,D26/100,-1)))</f>
        <v/>
      </c>
      <c r="G26" s="11" t="inlineStr">
        <is>
          <t>L</t>
        </is>
      </c>
      <c r="H26" s="10" t="inlineStr">
        <is>
          <t>TOR 2, CGY 5</t>
        </is>
      </c>
      <c r="I26" s="10" t="inlineStr">
        <is>
          <t>Bet the pick when it has a line from -198 to +150 and a differential of 14.61 or less; home or away.</t>
        </is>
      </c>
    </row>
    <row r="27">
      <c r="A27" s="9" t="n">
        <v>46321</v>
      </c>
      <c r="B27" s="10" t="inlineStr">
        <is>
          <t>DET @ EDM</t>
        </is>
      </c>
      <c r="C27" s="11" t="inlineStr">
        <is>
          <t>DET</t>
        </is>
      </c>
      <c r="D27" s="12" t="n">
        <v>150</v>
      </c>
      <c r="E27" s="13" t="n">
        <v>10.3</v>
      </c>
      <c r="F27" s="14">
        <f>IF(AND(G27&lt;&gt;"W",G27&lt;&gt;"L"),"",IF(G27="W",IF(D27&gt;0,D27/100,1),IF(D27&lt;0,D27/100,-1)))</f>
        <v/>
      </c>
      <c r="G27" s="11" t="inlineStr">
        <is>
          <t>W</t>
        </is>
      </c>
      <c r="H27" s="10" t="inlineStr">
        <is>
          <t>DET 4, EDM 3</t>
        </is>
      </c>
      <c r="I27" s="10" t="inlineStr">
        <is>
          <t>Bet the pick when it has a line from -198 to +150 and a differential of 14.61 or less; home or away.</t>
        </is>
      </c>
    </row>
    <row r="28">
      <c r="A28" s="9" t="n">
        <v>46323</v>
      </c>
      <c r="B28" s="10" t="inlineStr">
        <is>
          <t>CGY @ EDM</t>
        </is>
      </c>
      <c r="C28" s="11" t="inlineStr">
        <is>
          <t>CGY</t>
        </is>
      </c>
      <c r="D28" s="12" t="n">
        <v>150</v>
      </c>
      <c r="E28" s="13" t="n">
        <v>11.66</v>
      </c>
      <c r="F28" s="14">
        <f>IF(AND(G28&lt;&gt;"W",G28&lt;&gt;"L"),"",IF(G28="W",IF(D28&gt;0,D28/100,1),IF(D28&lt;0,D28/100,-1)))</f>
        <v/>
      </c>
      <c r="G28" s="11" t="inlineStr">
        <is>
          <t>L</t>
        </is>
      </c>
      <c r="H28" s="10" t="inlineStr">
        <is>
          <t>CGY 0, EDM 4</t>
        </is>
      </c>
      <c r="I28" s="10" t="inlineStr">
        <is>
          <t>Bet the pick when it has a line from -198 to +150 and a differential of 14.61 or less; home or away.</t>
        </is>
      </c>
    </row>
    <row r="29">
      <c r="A29" s="9" t="n">
        <v>46323</v>
      </c>
      <c r="B29" s="10" t="inlineStr">
        <is>
          <t>TOR @ SEA</t>
        </is>
      </c>
      <c r="C29" s="11" t="inlineStr">
        <is>
          <t>TOR</t>
        </is>
      </c>
      <c r="D29" s="12" t="n">
        <v>-135</v>
      </c>
      <c r="E29" s="13" t="n">
        <v>8.119999999999999</v>
      </c>
      <c r="F29" s="14">
        <f>IF(AND(G29&lt;&gt;"W",G29&lt;&gt;"L"),"",IF(G29="W",IF(D29&gt;0,D29/100,1),IF(D29&lt;0,D29/100,-1)))</f>
        <v/>
      </c>
      <c r="G29" s="11" t="inlineStr">
        <is>
          <t>L</t>
        </is>
      </c>
      <c r="H29" s="10" t="inlineStr">
        <is>
          <t>TOR 4, SEA 5</t>
        </is>
      </c>
      <c r="I29" s="10" t="inlineStr">
        <is>
          <t>Bet the pick when it has a line from -198 to +150 and a differential of 14.61 or less; home or away.</t>
        </is>
      </c>
    </row>
    <row r="30">
      <c r="A30" s="9" t="n">
        <v>46324</v>
      </c>
      <c r="B30" s="10" t="inlineStr">
        <is>
          <t>CHI @ DET</t>
        </is>
      </c>
      <c r="C30" s="11" t="inlineStr">
        <is>
          <t>CHI</t>
        </is>
      </c>
      <c r="D30" s="12" t="n">
        <v>136</v>
      </c>
      <c r="E30" s="13" t="n">
        <v>6.05</v>
      </c>
      <c r="F30" s="14">
        <f>IF(AND(G30&lt;&gt;"W",G30&lt;&gt;"L"),"",IF(G30="W",IF(D30&gt;0,D30/100,1),IF(D30&lt;0,D30/100,-1)))</f>
        <v/>
      </c>
      <c r="G30" s="11" t="inlineStr">
        <is>
          <t>L</t>
        </is>
      </c>
      <c r="H30" s="10" t="inlineStr">
        <is>
          <t>CHI 1, DET 4</t>
        </is>
      </c>
      <c r="I30" s="10" t="inlineStr">
        <is>
          <t>Bet the pick when it has a line from -198 to +150 and a differential of 14.61 or less; home or away.</t>
        </is>
      </c>
    </row>
    <row r="31">
      <c r="A31" s="9" t="n">
        <v>46324</v>
      </c>
      <c r="B31" s="10" t="inlineStr">
        <is>
          <t>WSH @ NSH</t>
        </is>
      </c>
      <c r="C31" s="11" t="inlineStr">
        <is>
          <t>WSH</t>
        </is>
      </c>
      <c r="D31" s="12" t="n">
        <v>-112</v>
      </c>
      <c r="E31" s="13" t="n">
        <v>13.21</v>
      </c>
      <c r="F31" s="14">
        <f>IF(AND(G31&lt;&gt;"W",G31&lt;&gt;"L"),"",IF(G31="W",IF(D31&gt;0,D31/100,1),IF(D31&lt;0,D31/100,-1)))</f>
        <v/>
      </c>
      <c r="G31" s="11" t="inlineStr">
        <is>
          <t>W</t>
        </is>
      </c>
      <c r="H31" s="10" t="inlineStr">
        <is>
          <t>WSH 4, NSH 3</t>
        </is>
      </c>
      <c r="I31" s="10" t="inlineStr">
        <is>
          <t>Bet the pick when it has a line from -198 to +150 and a differential of 14.61 or less; home or away.</t>
        </is>
      </c>
    </row>
    <row r="32">
      <c r="A32" s="9" t="n">
        <v>46324</v>
      </c>
      <c r="B32" s="10" t="inlineStr">
        <is>
          <t>NYI @ MIN</t>
        </is>
      </c>
      <c r="C32" s="11" t="inlineStr">
        <is>
          <t>MIN</t>
        </is>
      </c>
      <c r="D32" s="12" t="n">
        <v>-192</v>
      </c>
      <c r="E32" s="13" t="n">
        <v>4.87</v>
      </c>
      <c r="F32" s="14">
        <f>IF(AND(G32&lt;&gt;"W",G32&lt;&gt;"L"),"",IF(G32="W",IF(D32&gt;0,D32/100,1),IF(D32&lt;0,D32/100,-1)))</f>
        <v/>
      </c>
      <c r="G32" s="11" t="inlineStr">
        <is>
          <t>L</t>
        </is>
      </c>
      <c r="H32" s="10" t="inlineStr">
        <is>
          <t>NYI 4, MIN 3</t>
        </is>
      </c>
      <c r="I32" s="10" t="inlineStr">
        <is>
          <t>Bet the pick when it has a line from -198 to +150 and a differential of 14.61 or less; home or away.</t>
        </is>
      </c>
    </row>
    <row r="33">
      <c r="A33" s="9" t="n">
        <v>46324</v>
      </c>
      <c r="B33" s="10" t="inlineStr">
        <is>
          <t>OTT @ LAK</t>
        </is>
      </c>
      <c r="C33" s="11" t="inlineStr">
        <is>
          <t>OTT</t>
        </is>
      </c>
      <c r="D33" s="12" t="n">
        <v>-125</v>
      </c>
      <c r="E33" s="13" t="n">
        <v>2.53</v>
      </c>
      <c r="F33" s="14">
        <f>IF(AND(G33&lt;&gt;"W",G33&lt;&gt;"L"),"",IF(G33="W",IF(D33&gt;0,D33/100,1),IF(D33&lt;0,D33/100,-1)))</f>
        <v/>
      </c>
      <c r="G33" s="11" t="inlineStr">
        <is>
          <t>L</t>
        </is>
      </c>
      <c r="H33" s="10" t="inlineStr">
        <is>
          <t>OTT 5, LAK 6</t>
        </is>
      </c>
      <c r="I33" s="10" t="inlineStr">
        <is>
          <t>Bet the pick when it has a line from -198 to +150 and a differential of 14.61 or less; home or away.</t>
        </is>
      </c>
    </row>
  </sheetData>
  <autoFilter ref="A8:I33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33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any line up to +136 and a differential of 31.34 or less; home picks only.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SUM(H9:H178)</f>
        <v/>
      </c>
      <c r="C5" s="5">
        <f>IFERROR(COUNTIF(I9:I178,"W")/(COUNTIF(I9:I178,"W")+COUNTIF(I9:I178,"L")),"")</f>
        <v/>
      </c>
      <c r="E5" s="6">
        <f>COUNTIF(I9:I178,"W")&amp;"-"&amp;COUNTIF(I9:I178,"L")</f>
        <v/>
      </c>
      <c r="G5" s="7">
        <f>COUNTIF(I9:I178,"W")+COUNTIF(I9:I178,"L")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ANA 5, PHI 4</t>
        </is>
      </c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>
        <is>
          <t>W</t>
        </is>
      </c>
      <c r="J134" s="10" t="inlineStr">
        <is>
          <t>LAK 1, NJD 3</t>
        </is>
      </c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>
        <is>
          <t>W</t>
        </is>
      </c>
      <c r="J135" s="10" t="inlineStr">
        <is>
          <t>SJS 4, BOS 6</t>
        </is>
      </c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NYR 4, OTT 7</t>
        </is>
      </c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NSH 2, PIT 3</t>
        </is>
      </c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BUF 3, WSH 4</t>
        </is>
      </c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>
        <is>
          <t>W</t>
        </is>
      </c>
      <c r="J139" s="10" t="inlineStr">
        <is>
          <t>VGK 1, CBJ 2</t>
        </is>
      </c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CAR 4, STL 0</t>
        </is>
      </c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>
        <is>
          <t>W</t>
        </is>
      </c>
      <c r="J141" s="10" t="inlineStr">
        <is>
          <t>TOR 7, EDM 2</t>
        </is>
      </c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TBL 4, UTA 5</t>
        </is>
      </c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>
        <is>
          <t>L</t>
        </is>
      </c>
      <c r="J143" s="10" t="inlineStr">
        <is>
          <t>DET 1, CGY 4</t>
        </is>
      </c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MIN 5, SEA 1</t>
        </is>
      </c>
      <c r="K144" s="10" t="inlineStr">
        <is>
          <t>DraftKings at pick time (10:00 AM CT)</t>
        </is>
      </c>
      <c r="L144" s="11" t="inlineStr">
        <is>
          <t>Yes</t>
        </is>
      </c>
    </row>
    <row r="145">
      <c r="A145" s="9" t="n">
        <v>46320</v>
      </c>
      <c r="B145" s="10" t="inlineStr">
        <is>
          <t>FLA @ CHI</t>
        </is>
      </c>
      <c r="C145" s="13" t="n">
        <v>60.42</v>
      </c>
      <c r="D145" s="13" t="n">
        <v>57.4</v>
      </c>
      <c r="E145" s="13">
        <f>IF(OR(C145="",D145=""),"",ABS(C145-D145))</f>
        <v/>
      </c>
      <c r="F145" s="11" t="inlineStr">
        <is>
          <t>FLA</t>
        </is>
      </c>
      <c r="G145" s="12" t="n">
        <v>-185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FLA 3, CHI 2</t>
        </is>
      </c>
      <c r="K145" s="10" t="inlineStr">
        <is>
          <t>DraftKings at pick time (12:00 PM CT)</t>
        </is>
      </c>
      <c r="L145" s="11" t="inlineStr">
        <is>
          <t>Yes</t>
        </is>
      </c>
    </row>
    <row r="146">
      <c r="A146" s="9" t="n">
        <v>46320</v>
      </c>
      <c r="B146" s="10" t="inlineStr">
        <is>
          <t>NYI @ DAL</t>
        </is>
      </c>
      <c r="C146" s="13" t="n">
        <v>68.5</v>
      </c>
      <c r="D146" s="13" t="n">
        <v>81.20999999999999</v>
      </c>
      <c r="E146" s="13">
        <f>IF(OR(C146="",D146=""),"",ABS(C146-D146))</f>
        <v/>
      </c>
      <c r="F146" s="11" t="inlineStr">
        <is>
          <t>DAL</t>
        </is>
      </c>
      <c r="G146" s="12" t="n">
        <v>-198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NYI 3, DAL 6</t>
        </is>
      </c>
      <c r="K146" s="10" t="inlineStr">
        <is>
          <t>DraftKings at pick time (12:00 PM CT)</t>
        </is>
      </c>
      <c r="L146" s="11" t="inlineStr">
        <is>
          <t>Yes</t>
        </is>
      </c>
    </row>
    <row r="147">
      <c r="A147" s="9" t="n">
        <v>46320</v>
      </c>
      <c r="B147" s="10" t="inlineStr">
        <is>
          <t>MTL @ WPG</t>
        </is>
      </c>
      <c r="C147" s="13" t="n">
        <v>82.59999999999999</v>
      </c>
      <c r="D147" s="13" t="n">
        <v>58.79</v>
      </c>
      <c r="E147" s="13">
        <f>IF(OR(C147="",D147=""),"",ABS(C147-D147))</f>
        <v/>
      </c>
      <c r="F147" s="11" t="inlineStr">
        <is>
          <t>MTL</t>
        </is>
      </c>
      <c r="G147" s="12" t="n">
        <v>-118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MTL 2, WPG 1</t>
        </is>
      </c>
      <c r="K147" s="10" t="inlineStr">
        <is>
          <t>DraftKings at pick time (12:00 PM CT)</t>
        </is>
      </c>
      <c r="L147" s="11" t="inlineStr">
        <is>
          <t>No</t>
        </is>
      </c>
    </row>
    <row r="148">
      <c r="A148" s="9" t="n">
        <v>46320</v>
      </c>
      <c r="B148" s="10" t="inlineStr">
        <is>
          <t>COL @ NSH</t>
        </is>
      </c>
      <c r="C148" s="13" t="n">
        <v>68.84</v>
      </c>
      <c r="D148" s="13" t="n">
        <v>58.82</v>
      </c>
      <c r="E148" s="13">
        <f>IF(OR(C148="",D148=""),"",ABS(C148-D148))</f>
        <v/>
      </c>
      <c r="F148" s="11" t="inlineStr">
        <is>
          <t>COL</t>
        </is>
      </c>
      <c r="G148" s="12" t="n">
        <v>-230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COL 2, NSH 6</t>
        </is>
      </c>
      <c r="K148" s="10" t="inlineStr">
        <is>
          <t>DraftKings at pick time (12:00 PM CT)</t>
        </is>
      </c>
      <c r="L148" s="11" t="inlineStr">
        <is>
          <t>No</t>
        </is>
      </c>
    </row>
    <row r="149">
      <c r="A149" s="9" t="n">
        <v>46320</v>
      </c>
      <c r="B149" s="10" t="inlineStr">
        <is>
          <t>MIN @ VAN</t>
        </is>
      </c>
      <c r="C149" s="13" t="n">
        <v>90.14</v>
      </c>
      <c r="D149" s="13" t="n">
        <v>46.37</v>
      </c>
      <c r="E149" s="13">
        <f>IF(OR(C149="",D149=""),"",ABS(C149-D149))</f>
        <v/>
      </c>
      <c r="F149" s="11" t="inlineStr">
        <is>
          <t>MIN</t>
        </is>
      </c>
      <c r="G149" s="12" t="n">
        <v>-192</v>
      </c>
      <c r="H149" s="14">
        <f>IF(OR(F149="",G149="",AND(I149&lt;&gt;"W",I149&lt;&gt;"L")),"",IF(I149="W",IF(G149&gt;0,G149/100,1),IF(G149&lt;0,G149/100,-1)))</f>
        <v/>
      </c>
      <c r="I149" s="11" t="inlineStr">
        <is>
          <t>W</t>
        </is>
      </c>
      <c r="J149" s="10" t="inlineStr">
        <is>
          <t>MIN 4, VAN 2</t>
        </is>
      </c>
      <c r="K149" s="10" t="inlineStr">
        <is>
          <t>DraftKings at pick time (12:00 PM CT)</t>
        </is>
      </c>
      <c r="L149" s="11" t="inlineStr">
        <is>
          <t>No</t>
        </is>
      </c>
    </row>
    <row r="150">
      <c r="A150" s="9" t="n">
        <v>46321</v>
      </c>
      <c r="B150" s="10" t="inlineStr">
        <is>
          <t>LAK @ NYR</t>
        </is>
      </c>
      <c r="C150" s="13" t="n">
        <v>58.48</v>
      </c>
      <c r="D150" s="13" t="n">
        <v>71.31</v>
      </c>
      <c r="E150" s="13">
        <f>IF(OR(C150="",D150=""),"",ABS(C150-D150))</f>
        <v/>
      </c>
      <c r="F150" s="11" t="inlineStr">
        <is>
          <t>NYR</t>
        </is>
      </c>
      <c r="G150" s="12" t="n">
        <v>-135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LAK 6, NYR 3</t>
        </is>
      </c>
      <c r="K150" s="10" t="inlineStr">
        <is>
          <t>DraftKings at pick time (4:00 PM CT)</t>
        </is>
      </c>
      <c r="L150" s="11" t="inlineStr">
        <is>
          <t>Yes</t>
        </is>
      </c>
    </row>
    <row r="151">
      <c r="A151" s="9" t="n">
        <v>46321</v>
      </c>
      <c r="B151" s="10" t="inlineStr">
        <is>
          <t>TOR @ CGY</t>
        </is>
      </c>
      <c r="C151" s="13" t="n">
        <v>83.91</v>
      </c>
      <c r="D151" s="13" t="n">
        <v>73.61</v>
      </c>
      <c r="E151" s="13">
        <f>IF(OR(C151="",D151=""),"",ABS(C151-D151))</f>
        <v/>
      </c>
      <c r="F151" s="11" t="inlineStr">
        <is>
          <t>TOR</t>
        </is>
      </c>
      <c r="G151" s="12" t="n">
        <v>-135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TOR 2, CGY 5</t>
        </is>
      </c>
      <c r="K151" s="10" t="inlineStr">
        <is>
          <t>DraftKings at pick time (4:00 PM CT)</t>
        </is>
      </c>
      <c r="L151" s="11" t="inlineStr">
        <is>
          <t>Yes</t>
        </is>
      </c>
    </row>
    <row r="152">
      <c r="A152" s="9" t="n">
        <v>46321</v>
      </c>
      <c r="B152" s="10" t="inlineStr">
        <is>
          <t>DET @ EDM</t>
        </is>
      </c>
      <c r="C152" s="13" t="n">
        <v>66.39</v>
      </c>
      <c r="D152" s="13" t="n">
        <v>56.09</v>
      </c>
      <c r="E152" s="13">
        <f>IF(OR(C152="",D152=""),"",ABS(C152-D152))</f>
        <v/>
      </c>
      <c r="F152" s="11" t="inlineStr">
        <is>
          <t>DET</t>
        </is>
      </c>
      <c r="G152" s="12" t="n">
        <v>150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DET 4, EDM 3</t>
        </is>
      </c>
      <c r="K152" s="10" t="inlineStr">
        <is>
          <t>DraftKings at pick time (4:00 PM CT)</t>
        </is>
      </c>
      <c r="L152" s="11" t="inlineStr">
        <is>
          <t>Yes</t>
        </is>
      </c>
    </row>
    <row r="153">
      <c r="A153" s="9" t="n">
        <v>46322</v>
      </c>
      <c r="B153" s="10" t="inlineStr">
        <is>
          <t>CBJ @ PHI</t>
        </is>
      </c>
      <c r="C153" s="13" t="n">
        <v>71.97</v>
      </c>
      <c r="D153" s="13" t="n">
        <v>65.64</v>
      </c>
      <c r="E153" s="13">
        <f>IF(OR(C153="",D153=""),"",ABS(C153-D153))</f>
        <v/>
      </c>
      <c r="F153" s="11" t="inlineStr">
        <is>
          <t>CBJ</t>
        </is>
      </c>
      <c r="G153" s="12" t="n"/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CBJ 4, PHI 3</t>
        </is>
      </c>
      <c r="K153" s="10" t="inlineStr">
        <is>
          <t>no line at pick time</t>
        </is>
      </c>
      <c r="L153" s="11" t="inlineStr">
        <is>
          <t>No</t>
        </is>
      </c>
    </row>
    <row r="154">
      <c r="A154" s="9" t="n">
        <v>46322</v>
      </c>
      <c r="B154" s="10" t="inlineStr">
        <is>
          <t>BOS @ CAR</t>
        </is>
      </c>
      <c r="C154" s="13" t="n">
        <v>83.38</v>
      </c>
      <c r="D154" s="13" t="n">
        <v>90.53</v>
      </c>
      <c r="E154" s="13">
        <f>IF(OR(C154="",D154=""),"",ABS(C154-D154))</f>
        <v/>
      </c>
      <c r="F154" s="11" t="inlineStr">
        <is>
          <t>CAR</t>
        </is>
      </c>
      <c r="G154" s="12" t="n"/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BOS 1, CAR 2</t>
        </is>
      </c>
      <c r="K154" s="10" t="inlineStr">
        <is>
          <t>no line at pick time</t>
        </is>
      </c>
      <c r="L154" s="11" t="inlineStr">
        <is>
          <t>No</t>
        </is>
      </c>
    </row>
    <row r="155">
      <c r="A155" s="9" t="n">
        <v>46322</v>
      </c>
      <c r="B155" s="10" t="inlineStr">
        <is>
          <t>LAK @ CHI</t>
        </is>
      </c>
      <c r="C155" s="13" t="n">
        <v>77.3</v>
      </c>
      <c r="D155" s="13" t="n">
        <v>61.34</v>
      </c>
      <c r="E155" s="13">
        <f>IF(OR(C155="",D155=""),"",ABS(C155-D155))</f>
        <v/>
      </c>
      <c r="F155" s="11" t="inlineStr">
        <is>
          <t>LAK</t>
        </is>
      </c>
      <c r="G155" s="12" t="n"/>
      <c r="H155" s="14">
        <f>IF(OR(F155="",G155="",AND(I155&lt;&gt;"W",I155&lt;&gt;"L")),"",IF(I155="W",IF(G155&gt;0,G155/100,1),IF(G155&lt;0,G155/100,-1)))</f>
        <v/>
      </c>
      <c r="I155" s="11" t="inlineStr">
        <is>
          <t>L</t>
        </is>
      </c>
      <c r="J155" s="10" t="inlineStr">
        <is>
          <t>LAK 1, CHI 2</t>
        </is>
      </c>
      <c r="K155" s="10" t="inlineStr">
        <is>
          <t>no line at pick time</t>
        </is>
      </c>
      <c r="L155" s="11" t="inlineStr">
        <is>
          <t>No</t>
        </is>
      </c>
    </row>
    <row r="156">
      <c r="A156" s="9" t="n">
        <v>46322</v>
      </c>
      <c r="B156" s="10" t="inlineStr">
        <is>
          <t>MTL @ STL</t>
        </is>
      </c>
      <c r="C156" s="13" t="n">
        <v>72.45999999999999</v>
      </c>
      <c r="D156" s="13" t="n">
        <v>49.47</v>
      </c>
      <c r="E156" s="13">
        <f>IF(OR(C156="",D156=""),"",ABS(C156-D156))</f>
        <v/>
      </c>
      <c r="F156" s="11" t="inlineStr">
        <is>
          <t>MTL</t>
        </is>
      </c>
      <c r="G156" s="12" t="n"/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MTL 2, STL 0</t>
        </is>
      </c>
      <c r="K156" s="10" t="inlineStr">
        <is>
          <t>no line at pick time</t>
        </is>
      </c>
      <c r="L156" s="11" t="inlineStr">
        <is>
          <t>No</t>
        </is>
      </c>
    </row>
    <row r="157">
      <c r="A157" s="9" t="n">
        <v>46322</v>
      </c>
      <c r="B157" s="10" t="inlineStr">
        <is>
          <t>NYI @ NSH</t>
        </is>
      </c>
      <c r="C157" s="13" t="n">
        <v>49.58</v>
      </c>
      <c r="D157" s="13" t="n">
        <v>86.8</v>
      </c>
      <c r="E157" s="13">
        <f>IF(OR(C157="",D157=""),"",ABS(C157-D157))</f>
        <v/>
      </c>
      <c r="F157" s="11" t="inlineStr">
        <is>
          <t>NSH</t>
        </is>
      </c>
      <c r="G157" s="12" t="n"/>
      <c r="H157" s="14">
        <f>IF(OR(F157="",G157="",AND(I157&lt;&gt;"W",I157&lt;&gt;"L")),"",IF(I157="W",IF(G157&gt;0,G157/100,1),IF(G157&lt;0,G157/100,-1)))</f>
        <v/>
      </c>
      <c r="I157" s="11" t="inlineStr">
        <is>
          <t>L</t>
        </is>
      </c>
      <c r="J157" s="10" t="inlineStr">
        <is>
          <t>NYI 4, NSH 3</t>
        </is>
      </c>
      <c r="K157" s="10" t="inlineStr">
        <is>
          <t>no line at pick time</t>
        </is>
      </c>
      <c r="L157" s="11" t="inlineStr">
        <is>
          <t>No</t>
        </is>
      </c>
    </row>
    <row r="158">
      <c r="A158" s="9" t="n">
        <v>46322</v>
      </c>
      <c r="B158" s="10" t="inlineStr">
        <is>
          <t>NJD @ DAL</t>
        </is>
      </c>
      <c r="C158" s="13" t="n">
        <v>81.52</v>
      </c>
      <c r="D158" s="13" t="n">
        <v>90.42</v>
      </c>
      <c r="E158" s="13">
        <f>IF(OR(C158="",D158=""),"",ABS(C158-D158))</f>
        <v/>
      </c>
      <c r="F158" s="11" t="inlineStr">
        <is>
          <t>DAL</t>
        </is>
      </c>
      <c r="G158" s="12" t="n"/>
      <c r="H158" s="14">
        <f>IF(OR(F158="",G158="",AND(I158&lt;&gt;"W",I158&lt;&gt;"L")),"",IF(I158="W",IF(G158&gt;0,G158/100,1),IF(G158&lt;0,G158/100,-1)))</f>
        <v/>
      </c>
      <c r="I158" s="11" t="inlineStr">
        <is>
          <t>L</t>
        </is>
      </c>
      <c r="J158" s="10" t="inlineStr">
        <is>
          <t>NJD 5, DAL 1</t>
        </is>
      </c>
      <c r="K158" s="10" t="inlineStr">
        <is>
          <t>no line at pick time</t>
        </is>
      </c>
      <c r="L158" s="11" t="inlineStr">
        <is>
          <t>No</t>
        </is>
      </c>
    </row>
    <row r="159">
      <c r="A159" s="9" t="n">
        <v>46322</v>
      </c>
      <c r="B159" s="10" t="inlineStr">
        <is>
          <t>FLA @ WPG</t>
        </is>
      </c>
      <c r="C159" s="13" t="n">
        <v>78.66</v>
      </c>
      <c r="D159" s="13" t="n">
        <v>67.54000000000001</v>
      </c>
      <c r="E159" s="13">
        <f>IF(OR(C159="",D159=""),"",ABS(C159-D159))</f>
        <v/>
      </c>
      <c r="F159" s="11" t="inlineStr">
        <is>
          <t>FLA</t>
        </is>
      </c>
      <c r="G159" s="12" t="n"/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FLA 5, WPG 1</t>
        </is>
      </c>
      <c r="K159" s="10" t="inlineStr">
        <is>
          <t>no line at pick time</t>
        </is>
      </c>
      <c r="L159" s="11" t="inlineStr">
        <is>
          <t>No</t>
        </is>
      </c>
    </row>
    <row r="160">
      <c r="A160" s="9" t="n">
        <v>46322</v>
      </c>
      <c r="B160" s="10" t="inlineStr">
        <is>
          <t>MIN @ UTA</t>
        </is>
      </c>
      <c r="C160" s="13" t="n">
        <v>88.37</v>
      </c>
      <c r="D160" s="13" t="n">
        <v>72.31</v>
      </c>
      <c r="E160" s="13">
        <f>IF(OR(C160="",D160=""),"",ABS(C160-D160))</f>
        <v/>
      </c>
      <c r="F160" s="11" t="inlineStr">
        <is>
          <t>MIN</t>
        </is>
      </c>
      <c r="G160" s="12" t="n"/>
      <c r="H160" s="14">
        <f>IF(OR(F160="",G160="",AND(I160&lt;&gt;"W",I160&lt;&gt;"L")),"",IF(I160="W",IF(G160&gt;0,G160/100,1),IF(G160&lt;0,G160/100,-1)))</f>
        <v/>
      </c>
      <c r="I160" s="11" t="inlineStr">
        <is>
          <t>W</t>
        </is>
      </c>
      <c r="J160" s="10" t="inlineStr">
        <is>
          <t>MIN 3, UTA 1</t>
        </is>
      </c>
      <c r="K160" s="10" t="inlineStr">
        <is>
          <t>no line at pick time</t>
        </is>
      </c>
      <c r="L160" s="11" t="inlineStr">
        <is>
          <t>No</t>
        </is>
      </c>
    </row>
    <row r="161">
      <c r="A161" s="9" t="n">
        <v>46322</v>
      </c>
      <c r="B161" s="10" t="inlineStr">
        <is>
          <t>OTT @ VGK</t>
        </is>
      </c>
      <c r="C161" s="13" t="n">
        <v>68.69</v>
      </c>
      <c r="D161" s="13" t="n">
        <v>68.03</v>
      </c>
      <c r="E161" s="13">
        <f>IF(OR(C161="",D161=""),"",ABS(C161-D161))</f>
        <v/>
      </c>
      <c r="F161" s="11" t="inlineStr">
        <is>
          <t>OTT</t>
        </is>
      </c>
      <c r="G161" s="12" t="n"/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OTT 1, VGK 4</t>
        </is>
      </c>
      <c r="K161" s="10" t="inlineStr">
        <is>
          <t>no line at pick time</t>
        </is>
      </c>
      <c r="L161" s="11" t="inlineStr">
        <is>
          <t>No</t>
        </is>
      </c>
    </row>
    <row r="162">
      <c r="A162" s="9" t="n">
        <v>46322</v>
      </c>
      <c r="B162" s="10" t="inlineStr">
        <is>
          <t>VAN @ ANA</t>
        </is>
      </c>
      <c r="C162" s="13" t="n">
        <v>51.63</v>
      </c>
      <c r="D162" s="13" t="n">
        <v>74.36</v>
      </c>
      <c r="E162" s="13">
        <f>IF(OR(C162="",D162=""),"",ABS(C162-D162))</f>
        <v/>
      </c>
      <c r="F162" s="11" t="inlineStr">
        <is>
          <t>ANA</t>
        </is>
      </c>
      <c r="G162" s="12" t="n"/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VAN 6, ANA 5</t>
        </is>
      </c>
      <c r="K162" s="10" t="inlineStr">
        <is>
          <t>no line at pick time</t>
        </is>
      </c>
      <c r="L162" s="11" t="inlineStr">
        <is>
          <t>No</t>
        </is>
      </c>
    </row>
    <row r="163">
      <c r="A163" s="9" t="n">
        <v>46322</v>
      </c>
      <c r="B163" s="10" t="inlineStr">
        <is>
          <t>BUF @ SJS</t>
        </is>
      </c>
      <c r="C163" s="13" t="n">
        <v>63.39</v>
      </c>
      <c r="D163" s="13" t="n">
        <v>56.62</v>
      </c>
      <c r="E163" s="13">
        <f>IF(OR(C163="",D163=""),"",ABS(C163-D163))</f>
        <v/>
      </c>
      <c r="F163" s="11" t="inlineStr">
        <is>
          <t>BUF</t>
        </is>
      </c>
      <c r="G163" s="12" t="n"/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BUF 2, SJS 0</t>
        </is>
      </c>
      <c r="K163" s="10" t="inlineStr">
        <is>
          <t>no line at pick time</t>
        </is>
      </c>
      <c r="L163" s="11" t="inlineStr">
        <is>
          <t>No</t>
        </is>
      </c>
    </row>
    <row r="164">
      <c r="A164" s="9" t="n">
        <v>46323</v>
      </c>
      <c r="B164" s="10" t="inlineStr">
        <is>
          <t>PHI @ WSH</t>
        </is>
      </c>
      <c r="C164" s="13" t="n">
        <v>75.98999999999999</v>
      </c>
      <c r="D164" s="13" t="n">
        <v>76.61</v>
      </c>
      <c r="E164" s="13">
        <f>IF(OR(C164="",D164=""),"",ABS(C164-D164))</f>
        <v/>
      </c>
      <c r="F164" s="11" t="inlineStr">
        <is>
          <t>WSH</t>
        </is>
      </c>
      <c r="G164" s="12" t="n">
        <v>-245</v>
      </c>
      <c r="H164" s="14">
        <f>IF(OR(F164="",G164="",AND(I164&lt;&gt;"W",I164&lt;&gt;"L")),"",IF(I164="W",IF(G164&gt;0,G164/100,1),IF(G164&lt;0,G164/100,-1)))</f>
        <v/>
      </c>
      <c r="I164" s="11" t="inlineStr">
        <is>
          <t>W</t>
        </is>
      </c>
      <c r="J164" s="10" t="inlineStr">
        <is>
          <t>PHI 2, WSH 5</t>
        </is>
      </c>
      <c r="K164" s="10" t="inlineStr">
        <is>
          <t>DraftKings at pick time (4:30 PM CT)</t>
        </is>
      </c>
      <c r="L164" s="11" t="inlineStr">
        <is>
          <t>No</t>
        </is>
      </c>
    </row>
    <row r="165">
      <c r="A165" s="9" t="n">
        <v>46323</v>
      </c>
      <c r="B165" s="10" t="inlineStr">
        <is>
          <t>CGY @ EDM</t>
        </is>
      </c>
      <c r="C165" s="13" t="n">
        <v>82.02</v>
      </c>
      <c r="D165" s="13" t="n">
        <v>70.36</v>
      </c>
      <c r="E165" s="13">
        <f>IF(OR(C165="",D165=""),"",ABS(C165-D165))</f>
        <v/>
      </c>
      <c r="F165" s="11" t="inlineStr">
        <is>
          <t>CGY</t>
        </is>
      </c>
      <c r="G165" s="12" t="n">
        <v>150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CGY 0, EDM 4</t>
        </is>
      </c>
      <c r="K165" s="10" t="inlineStr">
        <is>
          <t>DraftKings at pick time (4:30 PM CT)</t>
        </is>
      </c>
      <c r="L165" s="11" t="inlineStr">
        <is>
          <t>Yes</t>
        </is>
      </c>
    </row>
    <row r="166">
      <c r="A166" s="9" t="n">
        <v>46323</v>
      </c>
      <c r="B166" s="10" t="inlineStr">
        <is>
          <t>NJD @ COL</t>
        </is>
      </c>
      <c r="C166" s="13" t="n">
        <v>87.98</v>
      </c>
      <c r="D166" s="13" t="n">
        <v>53.2</v>
      </c>
      <c r="E166" s="13">
        <f>IF(OR(C166="",D166=""),"",ABS(C166-D166))</f>
        <v/>
      </c>
      <c r="F166" s="11" t="inlineStr">
        <is>
          <t>NJD</t>
        </is>
      </c>
      <c r="G166" s="12" t="n">
        <v>124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NJD 2, COL 5</t>
        </is>
      </c>
      <c r="K166" s="10" t="inlineStr">
        <is>
          <t>DraftKings at pick time (4:30 PM CT)</t>
        </is>
      </c>
      <c r="L166" s="11" t="inlineStr">
        <is>
          <t>No</t>
        </is>
      </c>
    </row>
    <row r="167">
      <c r="A167" s="9" t="n">
        <v>46323</v>
      </c>
      <c r="B167" s="10" t="inlineStr">
        <is>
          <t>TOR @ SEA</t>
        </is>
      </c>
      <c r="C167" s="13" t="n">
        <v>57.98</v>
      </c>
      <c r="D167" s="13" t="n">
        <v>49.86</v>
      </c>
      <c r="E167" s="13">
        <f>IF(OR(C167="",D167=""),"",ABS(C167-D167))</f>
        <v/>
      </c>
      <c r="F167" s="11" t="inlineStr">
        <is>
          <t>TOR</t>
        </is>
      </c>
      <c r="G167" s="12" t="n">
        <v>-135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TOR 4, SEA 5</t>
        </is>
      </c>
      <c r="K167" s="10" t="inlineStr">
        <is>
          <t>DraftKings at pick time (4:30 PM CT)</t>
        </is>
      </c>
      <c r="L167" s="11" t="inlineStr">
        <is>
          <t>Yes</t>
        </is>
      </c>
    </row>
    <row r="168">
      <c r="A168" s="9" t="n">
        <v>46324</v>
      </c>
      <c r="B168" s="10" t="inlineStr">
        <is>
          <t>WPG @ TBL</t>
        </is>
      </c>
      <c r="C168" s="13" t="n">
        <v>59.07</v>
      </c>
      <c r="D168" s="13" t="n">
        <v>67.69</v>
      </c>
      <c r="E168" s="13">
        <f>IF(OR(C168="",D168=""),"",ABS(C168-D168))</f>
        <v/>
      </c>
      <c r="F168" s="11" t="inlineStr">
        <is>
          <t>TBL</t>
        </is>
      </c>
      <c r="G168" s="12" t="n">
        <v>-218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WPG 4, TBL 6</t>
        </is>
      </c>
      <c r="K168" s="10" t="inlineStr">
        <is>
          <t>DraftKings at pick time (4:00 PM CT)</t>
        </is>
      </c>
      <c r="L168" s="11" t="inlineStr">
        <is>
          <t>No</t>
        </is>
      </c>
    </row>
    <row r="169">
      <c r="A169" s="9" t="n">
        <v>46324</v>
      </c>
      <c r="B169" s="10" t="inlineStr">
        <is>
          <t>UTA @ PIT</t>
        </is>
      </c>
      <c r="C169" s="13" t="n">
        <v>62.85</v>
      </c>
      <c r="D169" s="13" t="n">
        <v>81.18000000000001</v>
      </c>
      <c r="E169" s="13">
        <f>IF(OR(C169="",D169=""),"",ABS(C169-D169))</f>
        <v/>
      </c>
      <c r="F169" s="11" t="inlineStr">
        <is>
          <t>PIT</t>
        </is>
      </c>
      <c r="G169" s="12" t="n">
        <v>114</v>
      </c>
      <c r="H169" s="14">
        <f>IF(OR(F169="",G169="",AND(I169&lt;&gt;"W",I169&lt;&gt;"L")),"",IF(I169="W",IF(G169&gt;0,G169/100,1),IF(G169&lt;0,G169/100,-1)))</f>
        <v/>
      </c>
      <c r="I169" s="11" t="inlineStr">
        <is>
          <t>L</t>
        </is>
      </c>
      <c r="J169" s="10" t="inlineStr">
        <is>
          <t>UTA 4, PIT 3</t>
        </is>
      </c>
      <c r="K169" s="10" t="inlineStr">
        <is>
          <t>DraftKings at pick time (4:00 PM CT)</t>
        </is>
      </c>
      <c r="L169" s="11" t="inlineStr">
        <is>
          <t>No</t>
        </is>
      </c>
    </row>
    <row r="170">
      <c r="A170" s="9" t="n">
        <v>46324</v>
      </c>
      <c r="B170" s="10" t="inlineStr">
        <is>
          <t>CBJ @ CAR</t>
        </is>
      </c>
      <c r="C170" s="13" t="n">
        <v>64.01000000000001</v>
      </c>
      <c r="D170" s="13" t="n">
        <v>84.23999999999999</v>
      </c>
      <c r="E170" s="13">
        <f>IF(OR(C170="",D170=""),"",ABS(C170-D170))</f>
        <v/>
      </c>
      <c r="F170" s="11" t="inlineStr">
        <is>
          <t>CAR</t>
        </is>
      </c>
      <c r="G170" s="12" t="n">
        <v>-258</v>
      </c>
      <c r="H170" s="14">
        <f>IF(OR(F170="",G170="",AND(I170&lt;&gt;"W",I170&lt;&gt;"L")),"",IF(I170="W",IF(G170&gt;0,G170/100,1),IF(G170&lt;0,G170/100,-1)))</f>
        <v/>
      </c>
      <c r="I170" s="11" t="inlineStr">
        <is>
          <t>W</t>
        </is>
      </c>
      <c r="J170" s="10" t="inlineStr">
        <is>
          <t>CBJ 2, CAR 3</t>
        </is>
      </c>
      <c r="K170" s="10" t="inlineStr">
        <is>
          <t>DraftKings at pick time (4:00 PM CT)</t>
        </is>
      </c>
      <c r="L170" s="11" t="inlineStr">
        <is>
          <t>No</t>
        </is>
      </c>
    </row>
    <row r="171">
      <c r="A171" s="9" t="n">
        <v>46324</v>
      </c>
      <c r="B171" s="10" t="inlineStr">
        <is>
          <t>CHI @ DET</t>
        </is>
      </c>
      <c r="C171" s="13" t="n">
        <v>75.69</v>
      </c>
      <c r="D171" s="13" t="n">
        <v>69.64</v>
      </c>
      <c r="E171" s="13">
        <f>IF(OR(C171="",D171=""),"",ABS(C171-D171))</f>
        <v/>
      </c>
      <c r="F171" s="11" t="inlineStr">
        <is>
          <t>CHI</t>
        </is>
      </c>
      <c r="G171" s="12" t="n">
        <v>136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CHI 1, DET 4</t>
        </is>
      </c>
      <c r="K171" s="10" t="inlineStr">
        <is>
          <t>DraftKings at pick time (4:00 PM CT)</t>
        </is>
      </c>
      <c r="L171" s="11" t="inlineStr">
        <is>
          <t>Yes</t>
        </is>
      </c>
    </row>
    <row r="172">
      <c r="A172" s="9" t="n">
        <v>46324</v>
      </c>
      <c r="B172" s="10" t="inlineStr">
        <is>
          <t>BOS @ STL</t>
        </is>
      </c>
      <c r="C172" s="13" t="n">
        <v>55.76</v>
      </c>
      <c r="D172" s="13" t="n">
        <v>72.7</v>
      </c>
      <c r="E172" s="13">
        <f>IF(OR(C172="",D172=""),"",ABS(C172-D172))</f>
        <v/>
      </c>
      <c r="F172" s="11" t="inlineStr">
        <is>
          <t>STL</t>
        </is>
      </c>
      <c r="G172" s="12" t="n">
        <v>-115</v>
      </c>
      <c r="H172" s="14">
        <f>IF(OR(F172="",G172="",AND(I172&lt;&gt;"W",I172&lt;&gt;"L")),"",IF(I172="W",IF(G172&gt;0,G172/100,1),IF(G172&lt;0,G172/100,-1)))</f>
        <v/>
      </c>
      <c r="I172" s="11" t="inlineStr">
        <is>
          <t>W</t>
        </is>
      </c>
      <c r="J172" s="10" t="inlineStr">
        <is>
          <t>BOS 1, STL 4</t>
        </is>
      </c>
      <c r="K172" s="10" t="inlineStr">
        <is>
          <t>DraftKings at pick time (4:00 PM CT)</t>
        </is>
      </c>
      <c r="L172" s="11" t="inlineStr">
        <is>
          <t>No</t>
        </is>
      </c>
    </row>
    <row r="173">
      <c r="A173" s="9" t="n">
        <v>46324</v>
      </c>
      <c r="B173" s="10" t="inlineStr">
        <is>
          <t>WSH @ NSH</t>
        </is>
      </c>
      <c r="C173" s="13" t="n">
        <v>80.93000000000001</v>
      </c>
      <c r="D173" s="13" t="n">
        <v>67.72</v>
      </c>
      <c r="E173" s="13">
        <f>IF(OR(C173="",D173=""),"",ABS(C173-D173))</f>
        <v/>
      </c>
      <c r="F173" s="11" t="inlineStr">
        <is>
          <t>WSH</t>
        </is>
      </c>
      <c r="G173" s="12" t="n">
        <v>-112</v>
      </c>
      <c r="H173" s="14">
        <f>IF(OR(F173="",G173="",AND(I173&lt;&gt;"W",I173&lt;&gt;"L")),"",IF(I173="W",IF(G173&gt;0,G173/100,1),IF(G173&lt;0,G173/100,-1)))</f>
        <v/>
      </c>
      <c r="I173" s="11" t="inlineStr">
        <is>
          <t>W</t>
        </is>
      </c>
      <c r="J173" s="10" t="inlineStr">
        <is>
          <t>WSH 4, NSH 3</t>
        </is>
      </c>
      <c r="K173" s="10" t="inlineStr">
        <is>
          <t>DraftKings at pick time (4:00 PM CT)</t>
        </is>
      </c>
      <c r="L173" s="11" t="inlineStr">
        <is>
          <t>Yes</t>
        </is>
      </c>
    </row>
    <row r="174">
      <c r="A174" s="9" t="n">
        <v>46324</v>
      </c>
      <c r="B174" s="10" t="inlineStr">
        <is>
          <t>MTL @ DAL</t>
        </is>
      </c>
      <c r="C174" s="13" t="n">
        <v>67.3</v>
      </c>
      <c r="D174" s="13" t="n">
        <v>52.02</v>
      </c>
      <c r="E174" s="13">
        <f>IF(OR(C174="",D174=""),"",ABS(C174-D174))</f>
        <v/>
      </c>
      <c r="F174" s="11" t="inlineStr">
        <is>
          <t>MTL</t>
        </is>
      </c>
      <c r="G174" s="12" t="n">
        <v>145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MTL 5, DAL 2</t>
        </is>
      </c>
      <c r="K174" s="10" t="inlineStr">
        <is>
          <t>DraftKings at pick time (4:00 PM CT)</t>
        </is>
      </c>
      <c r="L174" s="11" t="inlineStr">
        <is>
          <t>No</t>
        </is>
      </c>
    </row>
    <row r="175">
      <c r="A175" s="9" t="n">
        <v>46324</v>
      </c>
      <c r="B175" s="10" t="inlineStr">
        <is>
          <t>NYI @ MIN</t>
        </is>
      </c>
      <c r="C175" s="13" t="n">
        <v>72.28</v>
      </c>
      <c r="D175" s="13" t="n">
        <v>77.15000000000001</v>
      </c>
      <c r="E175" s="13">
        <f>IF(OR(C175="",D175=""),"",ABS(C175-D175))</f>
        <v/>
      </c>
      <c r="F175" s="11" t="inlineStr">
        <is>
          <t>MIN</t>
        </is>
      </c>
      <c r="G175" s="12" t="n">
        <v>-192</v>
      </c>
      <c r="H175" s="14">
        <f>IF(OR(F175="",G175="",AND(I175&lt;&gt;"W",I175&lt;&gt;"L")),"",IF(I175="W",IF(G175&gt;0,G175/100,1),IF(G175&lt;0,G175/100,-1)))</f>
        <v/>
      </c>
      <c r="I175" s="11" t="inlineStr">
        <is>
          <t>L</t>
        </is>
      </c>
      <c r="J175" s="10" t="inlineStr">
        <is>
          <t>NYI 4, MIN 3</t>
        </is>
      </c>
      <c r="K175" s="10" t="inlineStr">
        <is>
          <t>DraftKings at pick time (4:00 PM CT)</t>
        </is>
      </c>
      <c r="L175" s="11" t="inlineStr">
        <is>
          <t>Yes</t>
        </is>
      </c>
    </row>
    <row r="176">
      <c r="A176" s="9" t="n">
        <v>46324</v>
      </c>
      <c r="B176" s="10" t="inlineStr">
        <is>
          <t>BUF @ ANA</t>
        </is>
      </c>
      <c r="C176" s="13" t="n">
        <v>79.29000000000001</v>
      </c>
      <c r="D176" s="13" t="n">
        <v>63.17</v>
      </c>
      <c r="E176" s="13">
        <f>IF(OR(C176="",D176=""),"",ABS(C176-D176))</f>
        <v/>
      </c>
      <c r="F176" s="11" t="inlineStr">
        <is>
          <t>BUF</t>
        </is>
      </c>
      <c r="G176" s="12" t="n">
        <v>-142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BUF 7, ANA 6</t>
        </is>
      </c>
      <c r="K176" s="10" t="inlineStr">
        <is>
          <t>DraftKings at pick time (4:00 PM CT)</t>
        </is>
      </c>
      <c r="L176" s="11" t="inlineStr">
        <is>
          <t>No</t>
        </is>
      </c>
    </row>
    <row r="177">
      <c r="A177" s="9" t="n">
        <v>46324</v>
      </c>
      <c r="B177" s="10" t="inlineStr">
        <is>
          <t>OTT @ LAK</t>
        </is>
      </c>
      <c r="C177" s="13" t="n">
        <v>66.84</v>
      </c>
      <c r="D177" s="13" t="n">
        <v>64.31</v>
      </c>
      <c r="E177" s="13">
        <f>IF(OR(C177="",D177=""),"",ABS(C177-D177))</f>
        <v/>
      </c>
      <c r="F177" s="11" t="inlineStr">
        <is>
          <t>OTT</t>
        </is>
      </c>
      <c r="G177" s="12" t="n">
        <v>-125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OTT 5, LAK 6</t>
        </is>
      </c>
      <c r="K177" s="10" t="inlineStr">
        <is>
          <t>DraftKings at pick time (4:00 PM CT)</t>
        </is>
      </c>
      <c r="L177" s="11" t="inlineStr">
        <is>
          <t>Yes</t>
        </is>
      </c>
    </row>
    <row r="178">
      <c r="A178" s="9" t="n">
        <v>46324</v>
      </c>
      <c r="B178" s="10" t="inlineStr">
        <is>
          <t>VAN @ SJS</t>
        </is>
      </c>
      <c r="C178" s="13" t="n">
        <v>76.83</v>
      </c>
      <c r="D178" s="13" t="n">
        <v>60.71</v>
      </c>
      <c r="E178" s="13">
        <f>IF(OR(C178="",D178=""),"",ABS(C178-D178))</f>
        <v/>
      </c>
      <c r="F178" s="11" t="inlineStr">
        <is>
          <t>VAN</t>
        </is>
      </c>
      <c r="G178" s="12" t="n">
        <v>145</v>
      </c>
      <c r="H178" s="14">
        <f>IF(OR(F178="",G178="",AND(I178&lt;&gt;"W",I178&lt;&gt;"L")),"",IF(I178="W",IF(G178&gt;0,G178/100,1),IF(G178&lt;0,G178/100,-1)))</f>
        <v/>
      </c>
      <c r="I178" s="11" t="inlineStr">
        <is>
          <t>L</t>
        </is>
      </c>
      <c r="J178" s="10" t="inlineStr">
        <is>
          <t>VAN 2, SJS 3</t>
        </is>
      </c>
      <c r="K178" s="10" t="inlineStr">
        <is>
          <t>DraftKings at pick time (4:00 PM CT)</t>
        </is>
      </c>
      <c r="L178" s="11" t="inlineStr">
        <is>
          <t>No</t>
        </is>
      </c>
    </row>
  </sheetData>
  <autoFilter ref="A8:L178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78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  <row r="8">
      <c r="A8" s="16" t="n">
        <v>46320</v>
      </c>
      <c r="B8" s="17" t="inlineStr">
        <is>
          <t>Bet the pick when it has a line from -198 to +150 and a differential of 14.61 or less; home or away.</t>
        </is>
      </c>
      <c r="C8" s="18" t="inlineStr">
        <is>
          <t>48-19, +27.21 units</t>
        </is>
      </c>
      <c r="D8" s="18" t="inlineStr">
        <is>
          <t>81-53, +13.82 units</t>
        </is>
      </c>
      <c r="E8" s="19">
        <f>COUNTIFS('Dynamic Bet Results'!$A$9:$A$5000,A8)</f>
        <v/>
      </c>
      <c r="F8" s="20">
        <f>COUNTIFS('Dynamic Bet Results'!$A$9:$A$5000,A8,'Dynamic Bet Results'!$G$9:$G$5000,"W")&amp;"-"&amp;COUNTIFS('Dynamic Bet Results'!$A$9:$A$5000,A8,'Dynamic Bet Results'!$G$9:$G$5000,"L")</f>
        <v/>
      </c>
      <c r="G8" s="21">
        <f>SUMIFS('Dynamic Bet Results'!$F$9:$F$5000,'Dynamic Bet Results'!$A$9:$A$5000,A8)</f>
        <v/>
      </c>
    </row>
    <row r="9">
      <c r="A9" s="16" t="n">
        <v>46321</v>
      </c>
      <c r="B9" s="17" t="inlineStr">
        <is>
          <t>Bet the pick when it has a line from -198 to +150 and a differential of 14.61 or less; home or away.</t>
        </is>
      </c>
      <c r="C9" s="18" t="inlineStr">
        <is>
          <t>50-19, +29.21 units</t>
        </is>
      </c>
      <c r="D9" s="18" t="inlineStr">
        <is>
          <t>85-54, +15.52 units</t>
        </is>
      </c>
      <c r="E9" s="19">
        <f>COUNTIFS('Dynamic Bet Results'!$A$9:$A$5000,A9)</f>
        <v/>
      </c>
      <c r="F9" s="20">
        <f>COUNTIFS('Dynamic Bet Results'!$A$9:$A$5000,A9,'Dynamic Bet Results'!$G$9:$G$5000,"W")&amp;"-"&amp;COUNTIFS('Dynamic Bet Results'!$A$9:$A$5000,A9,'Dynamic Bet Results'!$G$9:$G$5000,"L")</f>
        <v/>
      </c>
      <c r="G9" s="21">
        <f>SUMIFS('Dynamic Bet Results'!$F$9:$F$5000,'Dynamic Bet Results'!$A$9:$A$5000,A9)</f>
        <v/>
      </c>
    </row>
    <row r="10">
      <c r="A10" s="16" t="n">
        <v>46322</v>
      </c>
      <c r="B10" s="17" t="inlineStr">
        <is>
          <t>Bet the pick when it has a line from -198 to +150 and a differential of 14.61 or less; home or away.</t>
        </is>
      </c>
      <c r="C10" s="18" t="inlineStr">
        <is>
          <t>51-21, +28.01 units</t>
        </is>
      </c>
      <c r="D10" s="18" t="inlineStr">
        <is>
          <t>86-56, +14.32 units</t>
        </is>
      </c>
      <c r="E10" s="19">
        <f>COUNTIFS('Dynamic Bet Results'!$A$9:$A$5000,A10)</f>
        <v/>
      </c>
      <c r="F10" s="20">
        <f>COUNTIFS('Dynamic Bet Results'!$A$9:$A$5000,A10,'Dynamic Bet Results'!$G$9:$G$5000,"W")&amp;"-"&amp;COUNTIFS('Dynamic Bet Results'!$A$9:$A$5000,A10,'Dynamic Bet Results'!$G$9:$G$5000,"L")</f>
        <v/>
      </c>
      <c r="G10" s="21">
        <f>SUMIFS('Dynamic Bet Results'!$F$9:$F$5000,'Dynamic Bet Results'!$A$9:$A$5000,A10)</f>
        <v/>
      </c>
    </row>
    <row r="11">
      <c r="A11" s="16" t="n">
        <v>46323</v>
      </c>
      <c r="B11" s="17" t="inlineStr">
        <is>
          <t>Bet the pick when it has a line from -198 to +150 and a differential of 14.61 or less; home or away.</t>
        </is>
      </c>
      <c r="C11" s="18" t="inlineStr">
        <is>
          <t>51-21, +28.01 units</t>
        </is>
      </c>
      <c r="D11" s="18" t="inlineStr">
        <is>
          <t>86-56, +14.32 units</t>
        </is>
      </c>
      <c r="E11" s="19">
        <f>COUNTIFS('Dynamic Bet Results'!$A$9:$A$5000,A11)</f>
        <v/>
      </c>
      <c r="F11" s="20">
        <f>COUNTIFS('Dynamic Bet Results'!$A$9:$A$5000,A11,'Dynamic Bet Results'!$G$9:$G$5000,"W")&amp;"-"&amp;COUNTIFS('Dynamic Bet Results'!$A$9:$A$5000,A11,'Dynamic Bet Results'!$G$9:$G$5000,"L")</f>
        <v/>
      </c>
      <c r="G11" s="21">
        <f>SUMIFS('Dynamic Bet Results'!$F$9:$F$5000,'Dynamic Bet Results'!$A$9:$A$5000,A11)</f>
        <v/>
      </c>
    </row>
    <row r="12">
      <c r="A12" s="16" t="n">
        <v>46324</v>
      </c>
      <c r="B12" s="17" t="inlineStr">
        <is>
          <t>Bet the pick when it has a line from -198 to +150 and a differential of 14.61 or less; home or away.</t>
        </is>
      </c>
      <c r="C12" s="18" t="inlineStr">
        <is>
          <t>51-23, +25.66 units</t>
        </is>
      </c>
      <c r="D12" s="18" t="inlineStr">
        <is>
          <t>87-59, +11.97 units</t>
        </is>
      </c>
      <c r="E12" s="19">
        <f>COUNTIFS('Dynamic Bet Results'!$A$9:$A$5000,A12)</f>
        <v/>
      </c>
      <c r="F12" s="20">
        <f>COUNTIFS('Dynamic Bet Results'!$A$9:$A$5000,A12,'Dynamic Bet Results'!$G$9:$G$5000,"W")&amp;"-"&amp;COUNTIFS('Dynamic Bet Results'!$A$9:$A$5000,A12,'Dynamic Bet Results'!$G$9:$G$5000,"L")</f>
        <v/>
      </c>
      <c r="G12" s="21">
        <f>SUMIFS('Dynamic Bet Results'!$F$9:$F$5000,'Dynamic Bet Results'!$A$9:$A$5000,A12)</f>
        <v/>
      </c>
    </row>
    <row r="13">
      <c r="A13" s="16" t="n">
        <v>46325</v>
      </c>
      <c r="B13" s="17" t="inlineStr">
        <is>
          <t>Bet the pick when it has any line up to +136 and a differential of 31.34 or less; home picks only.</t>
        </is>
      </c>
      <c r="C13" s="18" t="inlineStr">
        <is>
          <t>51-19, +23.89 units</t>
        </is>
      </c>
      <c r="D13" s="18" t="inlineStr">
        <is>
          <t>93-64, +12.25 units</t>
        </is>
      </c>
      <c r="E13" s="19">
        <f>COUNTIFS('Dynamic Bet Results'!$A$9:$A$5000,A13)</f>
        <v/>
      </c>
      <c r="F13" s="20">
        <f>COUNTIFS('Dynamic Bet Results'!$A$9:$A$5000,A13,'Dynamic Bet Results'!$G$9:$G$5000,"W")&amp;"-"&amp;COUNTIFS('Dynamic Bet Results'!$A$9:$A$5000,A13,'Dynamic Bet Results'!$G$9:$G$5000,"L")</f>
        <v/>
      </c>
      <c r="G13" s="21">
        <f>SUMIFS('Dynamic Bet Results'!$F$9:$F$5000,'Dynamic Bet Results'!$A$9:$A$5000,A13)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2026-10-30 06:00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2026-10-30T11:00:34Z</dcterms:created>
  <dcterms:modified xsi:type="dcterms:W3CDTF">2026-10-30T11:00:35Z</dcterms:modified>
</cp:coreProperties>
</file>