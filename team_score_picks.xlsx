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amic Bet Results" sheetId="1" state="visible" r:id="rId1"/>
    <sheet name="2026-27" sheetId="2" state="visible" r:id="rId2"/>
    <sheet name="Daily rule" sheetId="3" state="visible" r:id="rId3"/>
    <sheet name="2025-26" sheetId="4" state="visible" r:id="rId4"/>
    <sheet name="Notes" sheetId="5" state="visible" r:id="rId5"/>
  </sheets>
  <definedNames>
    <definedName name="_xlnm._FilterDatabase" localSheetId="0" hidden="1">'Dynamic Bet Results'!$A$8:$I$35</definedName>
    <definedName name="_xlnm._FilterDatabase" localSheetId="1" hidden="1">'2026-27'!$A$8:$L$191</definedName>
    <definedName name="_xlnm._FilterDatabase" localSheetId="3" hidden="1">'2025-26'!$A$8:$K$1272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;-0.00;0.00"/>
    <numFmt numFmtId="165" formatCode="0.0%"/>
    <numFmt numFmtId="166" formatCode="yyyy-mm-dd"/>
    <numFmt numFmtId="167" formatCode="+0;-0;+0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color rgb="00555555"/>
      <sz val="10"/>
    </font>
    <font>
      <name val="Arial"/>
      <b val="1"/>
      <sz val="16"/>
    </font>
    <font>
      <name val="Arial"/>
      <b val="1"/>
      <color rgb="00FFFFFF"/>
    </font>
    <font>
      <name val="Arial"/>
    </font>
    <font>
      <name val="Arial"/>
      <b val="1"/>
      <color rgb="001F3A2E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2E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/>
    </xf>
    <xf numFmtId="49" fontId="6" fillId="0" borderId="1" applyAlignment="1" pivotButton="0" quotePrefix="0" xfId="0">
      <alignment horizontal="left"/>
    </xf>
    <xf numFmtId="49" fontId="6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168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7" fillId="0" borderId="0" pivotButton="0" quotePrefix="0" xfId="0"/>
    <xf numFmtId="166" fontId="6" fillId="0" borderId="1" applyAlignment="1" pivotButton="0" quotePrefix="0" xfId="0">
      <alignment horizontal="center" vertical="top"/>
    </xf>
    <xf numFmtId="49" fontId="6" fillId="0" borderId="1" applyAlignment="1" pivotButton="0" quotePrefix="0" xfId="0">
      <alignment horizontal="left" vertical="top" wrapText="1"/>
    </xf>
    <xf numFmtId="49" fontId="6" fillId="0" borderId="1" applyAlignment="1" pivotButton="0" quotePrefix="0" xfId="0">
      <alignment horizontal="left" vertical="top"/>
    </xf>
    <xf numFmtId="1" fontId="6" fillId="0" borderId="1" applyAlignment="1" pivotButton="0" quotePrefix="0" xfId="0">
      <alignment horizontal="center" vertical="top"/>
    </xf>
    <xf numFmtId="49" fontId="6" fillId="0" borderId="1" applyAlignment="1" pivotButton="0" quotePrefix="0" xfId="0">
      <alignment horizontal="center" vertical="top"/>
    </xf>
    <xf numFmtId="164" fontId="6" fillId="0" borderId="1" applyAlignment="1" pivotButton="0" quotePrefix="0" xfId="0">
      <alignment horizontal="center" vertical="top"/>
    </xf>
    <xf numFmtId="0" fontId="8" fillId="0" borderId="0" pivotButton="0" quotePrefix="0" xfId="0"/>
    <xf numFmtId="0" fontId="9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006100"/>
        <sz val="16"/>
      </font>
      <fill>
        <patternFill patternType="solid">
          <fgColor rgb="00C6EFCE"/>
        </patternFill>
      </fill>
    </dxf>
    <dxf>
      <font>
        <name val="Arial"/>
        <b val="1"/>
        <color rgb="009C0006"/>
        <sz val="16"/>
      </font>
      <fill>
        <patternFill patternType="solid">
          <fgColor rgb="00FFC7CE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12" customWidth="1" min="4" max="4"/>
    <col width="13" customWidth="1" min="5" max="5"/>
    <col width="9" customWidth="1" min="6" max="6"/>
    <col width="9" customWidth="1" min="7" max="7"/>
    <col width="20" customWidth="1" min="8" max="8"/>
    <col width="90" customWidth="1" min="9" max="9"/>
  </cols>
  <sheetData>
    <row r="1">
      <c r="A1" s="1" t="inlineStr">
        <is>
          <t>Dynamic Bet Results: every pick emailed under that day's rule</t>
        </is>
      </c>
    </row>
    <row r="2">
      <c r="A2" s="2" t="inlineStr">
        <is>
          <t>Graded on the line in the email. Only picks that were emailed before the game count; nothing is filled in afterwards.</t>
        </is>
      </c>
    </row>
    <row r="4">
      <c r="A4" s="3" t="inlineStr">
        <is>
          <t>Total units</t>
        </is>
      </c>
      <c r="C4" s="3" t="inlineStr">
        <is>
          <t>Win %</t>
        </is>
      </c>
      <c r="E4" s="3" t="inlineStr">
        <is>
          <t>Record</t>
        </is>
      </c>
      <c r="G4" s="3" t="inlineStr">
        <is>
          <t>Bets</t>
        </is>
      </c>
      <c r="I4" s="3" t="inlineStr">
        <is>
          <t>Waiting on a result</t>
        </is>
      </c>
    </row>
    <row r="5">
      <c r="A5" s="4">
        <f>SUM(F9:F35)</f>
        <v/>
      </c>
      <c r="C5" s="5">
        <f>IFERROR(COUNTIF(G9:G35,"W")/(COUNTIF(G9:G35,"W")+COUNTIF(G9:G35,"L")),"")</f>
        <v/>
      </c>
      <c r="E5" s="6">
        <f>COUNTIF(G9:G35,"W")&amp;"-"&amp;COUNTIF(G9:G35,"L")</f>
        <v/>
      </c>
      <c r="G5" s="7">
        <f>COUNTIF(G9:G35,"W")+COUNTIF(G9:G35,"L")</f>
        <v/>
      </c>
      <c r="I5" s="7">
        <f>COUNTA(B9:B35)-COUNTIF(G9:G35,"W")-COUNTIF(G9:G35,"L")</f>
        <v/>
      </c>
    </row>
    <row r="8">
      <c r="A8" s="8" t="inlineStr">
        <is>
          <t>Date</t>
        </is>
      </c>
      <c r="B8" s="8" t="inlineStr">
        <is>
          <t>Matchup</t>
        </is>
      </c>
      <c r="C8" s="8" t="inlineStr">
        <is>
          <t>Pick</t>
        </is>
      </c>
      <c r="D8" s="8" t="inlineStr">
        <is>
          <t>Line when emailed</t>
        </is>
      </c>
      <c r="E8" s="8" t="inlineStr">
        <is>
          <t>Differential</t>
        </is>
      </c>
      <c r="F8" s="8" t="inlineStr">
        <is>
          <t>Units</t>
        </is>
      </c>
      <c r="G8" s="8" t="inlineStr">
        <is>
          <t>Result</t>
        </is>
      </c>
      <c r="H8" s="8" t="inlineStr">
        <is>
          <t>Final score</t>
        </is>
      </c>
      <c r="I8" s="8" t="inlineStr">
        <is>
          <t>That day's rule</t>
        </is>
      </c>
    </row>
    <row r="9">
      <c r="A9" s="9" t="n">
        <v>46317</v>
      </c>
      <c r="B9" s="10" t="inlineStr">
        <is>
          <t>NYR @ TOR</t>
        </is>
      </c>
      <c r="C9" s="11" t="inlineStr">
        <is>
          <t>NYR</t>
        </is>
      </c>
      <c r="D9" s="12" t="n">
        <v>-112</v>
      </c>
      <c r="E9" s="13" t="n">
        <v>5.83</v>
      </c>
      <c r="F9" s="14">
        <f>IF(AND(G9&lt;&gt;"W",G9&lt;&gt;"L"),"",IF(G9="W",IF(D9&gt;0,D9/100,1),IF(D9&lt;0,D9/100,-1)))</f>
        <v/>
      </c>
      <c r="G9" s="11" t="inlineStr">
        <is>
          <t>L</t>
        </is>
      </c>
      <c r="H9" s="10" t="inlineStr">
        <is>
          <t>NYR 4, TOR 5</t>
        </is>
      </c>
      <c r="I9" s="10" t="inlineStr">
        <is>
          <t>Bet the pick when it has a line from -192 to +110 and a differential of 23.51 or less; home or away.</t>
        </is>
      </c>
    </row>
    <row r="10">
      <c r="A10" s="9" t="n">
        <v>46317</v>
      </c>
      <c r="B10" s="10" t="inlineStr">
        <is>
          <t>SJS @ OTT</t>
        </is>
      </c>
      <c r="C10" s="11" t="inlineStr">
        <is>
          <t>OTT</t>
        </is>
      </c>
      <c r="D10" s="12" t="n">
        <v>-135</v>
      </c>
      <c r="E10" s="13" t="n">
        <v>22.86</v>
      </c>
      <c r="F10" s="14">
        <f>IF(AND(G10&lt;&gt;"W",G10&lt;&gt;"L"),"",IF(G10="W",IF(D10&gt;0,D10/100,1),IF(D10&lt;0,D10/100,-1)))</f>
        <v/>
      </c>
      <c r="G10" s="11" t="inlineStr">
        <is>
          <t>L</t>
        </is>
      </c>
      <c r="H10" s="10" t="inlineStr">
        <is>
          <t>SJS 6, OTT 2</t>
        </is>
      </c>
      <c r="I10" s="10" t="inlineStr">
        <is>
          <t>Bet the pick when it has a line from -192 to +110 and a differential of 23.51 or less; home or away.</t>
        </is>
      </c>
    </row>
    <row r="11">
      <c r="A11" s="9" t="n">
        <v>46317</v>
      </c>
      <c r="B11" s="10" t="inlineStr">
        <is>
          <t>FLA @ PIT</t>
        </is>
      </c>
      <c r="C11" s="11" t="inlineStr">
        <is>
          <t>PIT</t>
        </is>
      </c>
      <c r="D11" s="12" t="n">
        <v>-108</v>
      </c>
      <c r="E11" s="13" t="n">
        <v>4.96</v>
      </c>
      <c r="F11" s="14">
        <f>IF(AND(G11&lt;&gt;"W",G11&lt;&gt;"L"),"",IF(G11="W",IF(D11&gt;0,D11/100,1),IF(D11&lt;0,D11/100,-1)))</f>
        <v/>
      </c>
      <c r="G11" s="11" t="inlineStr">
        <is>
          <t>W</t>
        </is>
      </c>
      <c r="H11" s="10" t="inlineStr">
        <is>
          <t>FLA 0, PIT 4</t>
        </is>
      </c>
      <c r="I11" s="10" t="inlineStr">
        <is>
          <t>Bet the pick when it has a line from -192 to +110 and a differential of 23.51 or less; home or away.</t>
        </is>
      </c>
    </row>
    <row r="12">
      <c r="A12" s="9" t="n">
        <v>46317</v>
      </c>
      <c r="B12" s="10" t="inlineStr">
        <is>
          <t>LAK @ NYI</t>
        </is>
      </c>
      <c r="C12" s="11" t="inlineStr">
        <is>
          <t>NYI</t>
        </is>
      </c>
      <c r="D12" s="12" t="n">
        <v>-105</v>
      </c>
      <c r="E12" s="13" t="n">
        <v>16.97</v>
      </c>
      <c r="F12" s="14">
        <f>IF(AND(G12&lt;&gt;"W",G12&lt;&gt;"L"),"",IF(G12="W",IF(D12&gt;0,D12/100,1),IF(D12&lt;0,D12/100,-1)))</f>
        <v/>
      </c>
      <c r="G12" s="11" t="inlineStr">
        <is>
          <t>L</t>
        </is>
      </c>
      <c r="H12" s="10" t="inlineStr">
        <is>
          <t>LAK 3, NYI 2</t>
        </is>
      </c>
      <c r="I12" s="10" t="inlineStr">
        <is>
          <t>Bet the pick when it has a line from -192 to +110 and a differential of 23.51 or less; home or away.</t>
        </is>
      </c>
    </row>
    <row r="13">
      <c r="A13" s="9" t="n">
        <v>46317</v>
      </c>
      <c r="B13" s="10" t="inlineStr">
        <is>
          <t>VGK @ STL</t>
        </is>
      </c>
      <c r="C13" s="11" t="inlineStr">
        <is>
          <t>STL</t>
        </is>
      </c>
      <c r="D13" s="12" t="n">
        <v>110</v>
      </c>
      <c r="E13" s="13" t="n">
        <v>13.02</v>
      </c>
      <c r="F13" s="14">
        <f>IF(AND(G13&lt;&gt;"W",G13&lt;&gt;"L"),"",IF(G13="W",IF(D13&gt;0,D13/100,1),IF(D13&lt;0,D13/100,-1)))</f>
        <v/>
      </c>
      <c r="G13" s="11" t="inlineStr">
        <is>
          <t>W</t>
        </is>
      </c>
      <c r="H13" s="10" t="inlineStr">
        <is>
          <t>VGK 2, STL 6</t>
        </is>
      </c>
      <c r="I13" s="10" t="inlineStr">
        <is>
          <t>Bet the pick when it has a line from -192 to +110 and a differential of 23.51 or less; home or away.</t>
        </is>
      </c>
    </row>
    <row r="14">
      <c r="A14" s="9" t="n">
        <v>46317</v>
      </c>
      <c r="B14" s="10" t="inlineStr">
        <is>
          <t>CAR @ EDM</t>
        </is>
      </c>
      <c r="C14" s="11" t="inlineStr">
        <is>
          <t>CAR</t>
        </is>
      </c>
      <c r="D14" s="12" t="n">
        <v>-118</v>
      </c>
      <c r="E14" s="13" t="n">
        <v>19.43</v>
      </c>
      <c r="F14" s="14">
        <f>IF(AND(G14&lt;&gt;"W",G14&lt;&gt;"L"),"",IF(G14="W",IF(D14&gt;0,D14/100,1),IF(D14&lt;0,D14/100,-1)))</f>
        <v/>
      </c>
      <c r="G14" s="11" t="inlineStr">
        <is>
          <t>L</t>
        </is>
      </c>
      <c r="H14" s="10" t="inlineStr">
        <is>
          <t>CAR 5, EDM 6</t>
        </is>
      </c>
      <c r="I14" s="10" t="inlineStr">
        <is>
          <t>Bet the pick when it has a line from -192 to +110 and a differential of 23.51 or less; home or away.</t>
        </is>
      </c>
    </row>
    <row r="15">
      <c r="A15" s="9" t="n">
        <v>46317</v>
      </c>
      <c r="B15" s="10" t="inlineStr">
        <is>
          <t>UTA @ SEA</t>
        </is>
      </c>
      <c r="C15" s="11" t="inlineStr">
        <is>
          <t>UTA</t>
        </is>
      </c>
      <c r="D15" s="12" t="n">
        <v>-170</v>
      </c>
      <c r="E15" s="13" t="n">
        <v>13.21</v>
      </c>
      <c r="F15" s="14">
        <f>IF(AND(G15&lt;&gt;"W",G15&lt;&gt;"L"),"",IF(G15="W",IF(D15&gt;0,D15/100,1),IF(D15&lt;0,D15/100,-1)))</f>
        <v/>
      </c>
      <c r="G15" s="11" t="inlineStr">
        <is>
          <t>L</t>
        </is>
      </c>
      <c r="H15" s="10" t="inlineStr">
        <is>
          <t>UTA 3, SEA 5</t>
        </is>
      </c>
      <c r="I15" s="10" t="inlineStr">
        <is>
          <t>Bet the pick when it has a line from -192 to +110 and a differential of 23.51 or less; home or away.</t>
        </is>
      </c>
    </row>
    <row r="16">
      <c r="A16" s="9" t="n">
        <v>46317</v>
      </c>
      <c r="B16" s="10" t="inlineStr">
        <is>
          <t>DET @ VAN</t>
        </is>
      </c>
      <c r="C16" s="11" t="inlineStr">
        <is>
          <t>DET</t>
        </is>
      </c>
      <c r="D16" s="12" t="n">
        <v>-170</v>
      </c>
      <c r="E16" s="13" t="n">
        <v>20.27</v>
      </c>
      <c r="F16" s="14">
        <f>IF(AND(G16&lt;&gt;"W",G16&lt;&gt;"L"),"",IF(G16="W",IF(D16&gt;0,D16/100,1),IF(D16&lt;0,D16/100,-1)))</f>
        <v/>
      </c>
      <c r="G16" s="11" t="inlineStr">
        <is>
          <t>W</t>
        </is>
      </c>
      <c r="H16" s="10" t="inlineStr">
        <is>
          <t>DET 5, VAN 2</t>
        </is>
      </c>
      <c r="I16" s="10" t="inlineStr">
        <is>
          <t>Bet the pick when it has a line from -192 to +110 and a differential of 23.51 or less; home or away.</t>
        </is>
      </c>
    </row>
    <row r="17">
      <c r="A17" s="9" t="n">
        <v>46319</v>
      </c>
      <c r="B17" s="10" t="inlineStr">
        <is>
          <t>ANA @ PHI</t>
        </is>
      </c>
      <c r="C17" s="11" t="inlineStr">
        <is>
          <t>PHI</t>
        </is>
      </c>
      <c r="D17" s="12" t="n">
        <v>-122</v>
      </c>
      <c r="E17" s="13" t="n">
        <v>16.73</v>
      </c>
      <c r="F17" s="14">
        <f>IF(AND(G17&lt;&gt;"W",G17&lt;&gt;"L"),"",IF(G17="W",IF(D17&gt;0,D17/100,1),IF(D17&lt;0,D17/100,-1)))</f>
        <v/>
      </c>
      <c r="G17" s="11" t="inlineStr">
        <is>
          <t>L</t>
        </is>
      </c>
      <c r="H17" s="10" t="inlineStr">
        <is>
          <t>ANA 5, PHI 4</t>
        </is>
      </c>
      <c r="I17" s="10" t="inlineStr">
        <is>
          <t>Bet the pick when it has any line up to +110 and a differential of 19.38 or less; home or away.</t>
        </is>
      </c>
    </row>
    <row r="18">
      <c r="A18" s="9" t="n">
        <v>46319</v>
      </c>
      <c r="B18" s="10" t="inlineStr">
        <is>
          <t>LAK @ NJD</t>
        </is>
      </c>
      <c r="C18" s="11" t="inlineStr">
        <is>
          <t>NJD</t>
        </is>
      </c>
      <c r="D18" s="12" t="n">
        <v>-192</v>
      </c>
      <c r="E18" s="13" t="n">
        <v>9.039999999999999</v>
      </c>
      <c r="F18" s="14">
        <f>IF(AND(G18&lt;&gt;"W",G18&lt;&gt;"L"),"",IF(G18="W",IF(D18&gt;0,D18/100,1),IF(D18&lt;0,D18/100,-1)))</f>
        <v/>
      </c>
      <c r="G18" s="11" t="inlineStr">
        <is>
          <t>W</t>
        </is>
      </c>
      <c r="H18" s="10" t="inlineStr">
        <is>
          <t>LAK 1, NJD 3</t>
        </is>
      </c>
      <c r="I18" s="10" t="inlineStr">
        <is>
          <t>Bet the pick when it has any line up to +110 and a differential of 19.38 or less; home or away.</t>
        </is>
      </c>
    </row>
    <row r="19">
      <c r="A19" s="9" t="n">
        <v>46319</v>
      </c>
      <c r="B19" s="10" t="inlineStr">
        <is>
          <t>NYR @ OTT</t>
        </is>
      </c>
      <c r="C19" s="11" t="inlineStr">
        <is>
          <t>OTT</t>
        </is>
      </c>
      <c r="D19" s="12" t="n">
        <v>-125</v>
      </c>
      <c r="E19" s="13" t="n">
        <v>11.62</v>
      </c>
      <c r="F19" s="14">
        <f>IF(AND(G19&lt;&gt;"W",G19&lt;&gt;"L"),"",IF(G19="W",IF(D19&gt;0,D19/100,1),IF(D19&lt;0,D19/100,-1)))</f>
        <v/>
      </c>
      <c r="G19" s="11" t="inlineStr">
        <is>
          <t>W</t>
        </is>
      </c>
      <c r="H19" s="10" t="inlineStr">
        <is>
          <t>NYR 4, OTT 7</t>
        </is>
      </c>
      <c r="I19" s="10" t="inlineStr">
        <is>
          <t>Bet the pick when it has any line up to +110 and a differential of 19.38 or less; home or away.</t>
        </is>
      </c>
    </row>
    <row r="20">
      <c r="A20" s="9" t="n">
        <v>46319</v>
      </c>
      <c r="B20" s="10" t="inlineStr">
        <is>
          <t>BUF @ WSH</t>
        </is>
      </c>
      <c r="C20" s="11" t="inlineStr">
        <is>
          <t>WSH</t>
        </is>
      </c>
      <c r="D20" s="12" t="n">
        <v>-125</v>
      </c>
      <c r="E20" s="13" t="n">
        <v>7.47</v>
      </c>
      <c r="F20" s="14">
        <f>IF(AND(G20&lt;&gt;"W",G20&lt;&gt;"L"),"",IF(G20="W",IF(D20&gt;0,D20/100,1),IF(D20&lt;0,D20/100,-1)))</f>
        <v/>
      </c>
      <c r="G20" s="11" t="inlineStr">
        <is>
          <t>W</t>
        </is>
      </c>
      <c r="H20" s="10" t="inlineStr">
        <is>
          <t>BUF 3, WSH 4</t>
        </is>
      </c>
      <c r="I20" s="10" t="inlineStr">
        <is>
          <t>Bet the pick when it has any line up to +110 and a differential of 19.38 or less; home or away.</t>
        </is>
      </c>
    </row>
    <row r="21">
      <c r="A21" s="9" t="n">
        <v>46319</v>
      </c>
      <c r="B21" s="10" t="inlineStr">
        <is>
          <t>TBL @ UTA</t>
        </is>
      </c>
      <c r="C21" s="11" t="inlineStr">
        <is>
          <t>UTA</t>
        </is>
      </c>
      <c r="D21" s="12" t="n">
        <v>-142</v>
      </c>
      <c r="E21" s="13" t="n">
        <v>2.86</v>
      </c>
      <c r="F21" s="14">
        <f>IF(AND(G21&lt;&gt;"W",G21&lt;&gt;"L"),"",IF(G21="W",IF(D21&gt;0,D21/100,1),IF(D21&lt;0,D21/100,-1)))</f>
        <v/>
      </c>
      <c r="G21" s="11" t="inlineStr">
        <is>
          <t>W</t>
        </is>
      </c>
      <c r="H21" s="10" t="inlineStr">
        <is>
          <t>TBL 4, UTA 5</t>
        </is>
      </c>
      <c r="I21" s="10" t="inlineStr">
        <is>
          <t>Bet the pick when it has any line up to +110 and a differential of 19.38 or less; home or away.</t>
        </is>
      </c>
    </row>
    <row r="22">
      <c r="A22" s="9" t="n">
        <v>46319</v>
      </c>
      <c r="B22" s="10" t="inlineStr">
        <is>
          <t>MIN @ SEA</t>
        </is>
      </c>
      <c r="C22" s="11" t="inlineStr">
        <is>
          <t>MIN</t>
        </is>
      </c>
      <c r="D22" s="12" t="n">
        <v>-155</v>
      </c>
      <c r="E22" s="13" t="n">
        <v>7.91</v>
      </c>
      <c r="F22" s="14">
        <f>IF(AND(G22&lt;&gt;"W",G22&lt;&gt;"L"),"",IF(G22="W",IF(D22&gt;0,D22/100,1),IF(D22&lt;0,D22/100,-1)))</f>
        <v/>
      </c>
      <c r="G22" s="11" t="inlineStr">
        <is>
          <t>W</t>
        </is>
      </c>
      <c r="H22" s="10" t="inlineStr">
        <is>
          <t>MIN 5, SEA 1</t>
        </is>
      </c>
      <c r="I22" s="10" t="inlineStr">
        <is>
          <t>Bet the pick when it has any line up to +110 and a differential of 19.38 or less; home or away.</t>
        </is>
      </c>
    </row>
    <row r="23">
      <c r="A23" s="9" t="n">
        <v>46320</v>
      </c>
      <c r="B23" s="10" t="inlineStr">
        <is>
          <t>FLA @ CHI</t>
        </is>
      </c>
      <c r="C23" s="11" t="inlineStr">
        <is>
          <t>FLA</t>
        </is>
      </c>
      <c r="D23" s="12" t="n">
        <v>-185</v>
      </c>
      <c r="E23" s="13" t="n">
        <v>3.02</v>
      </c>
      <c r="F23" s="14">
        <f>IF(AND(G23&lt;&gt;"W",G23&lt;&gt;"L"),"",IF(G23="W",IF(D23&gt;0,D23/100,1),IF(D23&lt;0,D23/100,-1)))</f>
        <v/>
      </c>
      <c r="G23" s="11" t="inlineStr">
        <is>
          <t>W</t>
        </is>
      </c>
      <c r="H23" s="10" t="inlineStr">
        <is>
          <t>FLA 3, CHI 2</t>
        </is>
      </c>
      <c r="I23" s="10" t="inlineStr">
        <is>
          <t>Bet the pick when it has a line from -198 to +150 and a differential of 14.61 or less; home or away.</t>
        </is>
      </c>
    </row>
    <row r="24">
      <c r="A24" s="9" t="n">
        <v>46320</v>
      </c>
      <c r="B24" s="10" t="inlineStr">
        <is>
          <t>NYI @ DAL</t>
        </is>
      </c>
      <c r="C24" s="11" t="inlineStr">
        <is>
          <t>DAL</t>
        </is>
      </c>
      <c r="D24" s="12" t="n">
        <v>-198</v>
      </c>
      <c r="E24" s="13" t="n">
        <v>12.71</v>
      </c>
      <c r="F24" s="14">
        <f>IF(AND(G24&lt;&gt;"W",G24&lt;&gt;"L"),"",IF(G24="W",IF(D24&gt;0,D24/100,1),IF(D24&lt;0,D24/100,-1)))</f>
        <v/>
      </c>
      <c r="G24" s="11" t="inlineStr">
        <is>
          <t>W</t>
        </is>
      </c>
      <c r="H24" s="10" t="inlineStr">
        <is>
          <t>NYI 3, DAL 6</t>
        </is>
      </c>
      <c r="I24" s="10" t="inlineStr">
        <is>
          <t>Bet the pick when it has a line from -198 to +150 and a differential of 14.61 or less; home or away.</t>
        </is>
      </c>
    </row>
    <row r="25">
      <c r="A25" s="9" t="n">
        <v>46321</v>
      </c>
      <c r="B25" s="10" t="inlineStr">
        <is>
          <t>LAK @ NYR</t>
        </is>
      </c>
      <c r="C25" s="11" t="inlineStr">
        <is>
          <t>NYR</t>
        </is>
      </c>
      <c r="D25" s="12" t="n">
        <v>-135</v>
      </c>
      <c r="E25" s="13" t="n">
        <v>12.83</v>
      </c>
      <c r="F25" s="14">
        <f>IF(AND(G25&lt;&gt;"W",G25&lt;&gt;"L"),"",IF(G25="W",IF(D25&gt;0,D25/100,1),IF(D25&lt;0,D25/100,-1)))</f>
        <v/>
      </c>
      <c r="G25" s="11" t="inlineStr">
        <is>
          <t>L</t>
        </is>
      </c>
      <c r="H25" s="10" t="inlineStr">
        <is>
          <t>LAK 6, NYR 3</t>
        </is>
      </c>
      <c r="I25" s="10" t="inlineStr">
        <is>
          <t>Bet the pick when it has a line from -198 to +150 and a differential of 14.61 or less; home or away.</t>
        </is>
      </c>
    </row>
    <row r="26">
      <c r="A26" s="9" t="n">
        <v>46321</v>
      </c>
      <c r="B26" s="10" t="inlineStr">
        <is>
          <t>TOR @ CGY</t>
        </is>
      </c>
      <c r="C26" s="11" t="inlineStr">
        <is>
          <t>TOR</t>
        </is>
      </c>
      <c r="D26" s="12" t="n">
        <v>-135</v>
      </c>
      <c r="E26" s="13" t="n">
        <v>10.3</v>
      </c>
      <c r="F26" s="14">
        <f>IF(AND(G26&lt;&gt;"W",G26&lt;&gt;"L"),"",IF(G26="W",IF(D26&gt;0,D26/100,1),IF(D26&lt;0,D26/100,-1)))</f>
        <v/>
      </c>
      <c r="G26" s="11" t="inlineStr">
        <is>
          <t>L</t>
        </is>
      </c>
      <c r="H26" s="10" t="inlineStr">
        <is>
          <t>TOR 2, CGY 5</t>
        </is>
      </c>
      <c r="I26" s="10" t="inlineStr">
        <is>
          <t>Bet the pick when it has a line from -198 to +150 and a differential of 14.61 or less; home or away.</t>
        </is>
      </c>
    </row>
    <row r="27">
      <c r="A27" s="9" t="n">
        <v>46321</v>
      </c>
      <c r="B27" s="10" t="inlineStr">
        <is>
          <t>DET @ EDM</t>
        </is>
      </c>
      <c r="C27" s="11" t="inlineStr">
        <is>
          <t>DET</t>
        </is>
      </c>
      <c r="D27" s="12" t="n">
        <v>150</v>
      </c>
      <c r="E27" s="13" t="n">
        <v>10.3</v>
      </c>
      <c r="F27" s="14">
        <f>IF(AND(G27&lt;&gt;"W",G27&lt;&gt;"L"),"",IF(G27="W",IF(D27&gt;0,D27/100,1),IF(D27&lt;0,D27/100,-1)))</f>
        <v/>
      </c>
      <c r="G27" s="11" t="inlineStr">
        <is>
          <t>W</t>
        </is>
      </c>
      <c r="H27" s="10" t="inlineStr">
        <is>
          <t>DET 4, EDM 3</t>
        </is>
      </c>
      <c r="I27" s="10" t="inlineStr">
        <is>
          <t>Bet the pick when it has a line from -198 to +150 and a differential of 14.61 or less; home or away.</t>
        </is>
      </c>
    </row>
    <row r="28">
      <c r="A28" s="9" t="n">
        <v>46323</v>
      </c>
      <c r="B28" s="10" t="inlineStr">
        <is>
          <t>CGY @ EDM</t>
        </is>
      </c>
      <c r="C28" s="11" t="inlineStr">
        <is>
          <t>CGY</t>
        </is>
      </c>
      <c r="D28" s="12" t="n">
        <v>150</v>
      </c>
      <c r="E28" s="13" t="n">
        <v>11.66</v>
      </c>
      <c r="F28" s="14">
        <f>IF(AND(G28&lt;&gt;"W",G28&lt;&gt;"L"),"",IF(G28="W",IF(D28&gt;0,D28/100,1),IF(D28&lt;0,D28/100,-1)))</f>
        <v/>
      </c>
      <c r="G28" s="11" t="inlineStr">
        <is>
          <t>L</t>
        </is>
      </c>
      <c r="H28" s="10" t="inlineStr">
        <is>
          <t>CGY 0, EDM 4</t>
        </is>
      </c>
      <c r="I28" s="10" t="inlineStr">
        <is>
          <t>Bet the pick when it has a line from -198 to +150 and a differential of 14.61 or less; home or away.</t>
        </is>
      </c>
    </row>
    <row r="29">
      <c r="A29" s="9" t="n">
        <v>46323</v>
      </c>
      <c r="B29" s="10" t="inlineStr">
        <is>
          <t>TOR @ SEA</t>
        </is>
      </c>
      <c r="C29" s="11" t="inlineStr">
        <is>
          <t>TOR</t>
        </is>
      </c>
      <c r="D29" s="12" t="n">
        <v>-135</v>
      </c>
      <c r="E29" s="13" t="n">
        <v>8.119999999999999</v>
      </c>
      <c r="F29" s="14">
        <f>IF(AND(G29&lt;&gt;"W",G29&lt;&gt;"L"),"",IF(G29="W",IF(D29&gt;0,D29/100,1),IF(D29&lt;0,D29/100,-1)))</f>
        <v/>
      </c>
      <c r="G29" s="11" t="inlineStr">
        <is>
          <t>L</t>
        </is>
      </c>
      <c r="H29" s="10" t="inlineStr">
        <is>
          <t>TOR 4, SEA 5</t>
        </is>
      </c>
      <c r="I29" s="10" t="inlineStr">
        <is>
          <t>Bet the pick when it has a line from -198 to +150 and a differential of 14.61 or less; home or away.</t>
        </is>
      </c>
    </row>
    <row r="30">
      <c r="A30" s="9" t="n">
        <v>46324</v>
      </c>
      <c r="B30" s="10" t="inlineStr">
        <is>
          <t>CHI @ DET</t>
        </is>
      </c>
      <c r="C30" s="11" t="inlineStr">
        <is>
          <t>CHI</t>
        </is>
      </c>
      <c r="D30" s="12" t="n">
        <v>136</v>
      </c>
      <c r="E30" s="13" t="n">
        <v>6.05</v>
      </c>
      <c r="F30" s="14">
        <f>IF(AND(G30&lt;&gt;"W",G30&lt;&gt;"L"),"",IF(G30="W",IF(D30&gt;0,D30/100,1),IF(D30&lt;0,D30/100,-1)))</f>
        <v/>
      </c>
      <c r="G30" s="11" t="inlineStr">
        <is>
          <t>L</t>
        </is>
      </c>
      <c r="H30" s="10" t="inlineStr">
        <is>
          <t>CHI 1, DET 4</t>
        </is>
      </c>
      <c r="I30" s="10" t="inlineStr">
        <is>
          <t>Bet the pick when it has a line from -198 to +150 and a differential of 14.61 or less; home or away.</t>
        </is>
      </c>
    </row>
    <row r="31">
      <c r="A31" s="9" t="n">
        <v>46324</v>
      </c>
      <c r="B31" s="10" t="inlineStr">
        <is>
          <t>WSH @ NSH</t>
        </is>
      </c>
      <c r="C31" s="11" t="inlineStr">
        <is>
          <t>WSH</t>
        </is>
      </c>
      <c r="D31" s="12" t="n">
        <v>-112</v>
      </c>
      <c r="E31" s="13" t="n">
        <v>13.21</v>
      </c>
      <c r="F31" s="14">
        <f>IF(AND(G31&lt;&gt;"W",G31&lt;&gt;"L"),"",IF(G31="W",IF(D31&gt;0,D31/100,1),IF(D31&lt;0,D31/100,-1)))</f>
        <v/>
      </c>
      <c r="G31" s="11" t="inlineStr">
        <is>
          <t>W</t>
        </is>
      </c>
      <c r="H31" s="10" t="inlineStr">
        <is>
          <t>WSH 4, NSH 3</t>
        </is>
      </c>
      <c r="I31" s="10" t="inlineStr">
        <is>
          <t>Bet the pick when it has a line from -198 to +150 and a differential of 14.61 or less; home or away.</t>
        </is>
      </c>
    </row>
    <row r="32">
      <c r="A32" s="9" t="n">
        <v>46324</v>
      </c>
      <c r="B32" s="10" t="inlineStr">
        <is>
          <t>NYI @ MIN</t>
        </is>
      </c>
      <c r="C32" s="11" t="inlineStr">
        <is>
          <t>MIN</t>
        </is>
      </c>
      <c r="D32" s="12" t="n">
        <v>-192</v>
      </c>
      <c r="E32" s="13" t="n">
        <v>4.87</v>
      </c>
      <c r="F32" s="14">
        <f>IF(AND(G32&lt;&gt;"W",G32&lt;&gt;"L"),"",IF(G32="W",IF(D32&gt;0,D32/100,1),IF(D32&lt;0,D32/100,-1)))</f>
        <v/>
      </c>
      <c r="G32" s="11" t="inlineStr">
        <is>
          <t>L</t>
        </is>
      </c>
      <c r="H32" s="10" t="inlineStr">
        <is>
          <t>NYI 4, MIN 3</t>
        </is>
      </c>
      <c r="I32" s="10" t="inlineStr">
        <is>
          <t>Bet the pick when it has a line from -198 to +150 and a differential of 14.61 or less; home or away.</t>
        </is>
      </c>
    </row>
    <row r="33">
      <c r="A33" s="9" t="n">
        <v>46324</v>
      </c>
      <c r="B33" s="10" t="inlineStr">
        <is>
          <t>OTT @ LAK</t>
        </is>
      </c>
      <c r="C33" s="11" t="inlineStr">
        <is>
          <t>OTT</t>
        </is>
      </c>
      <c r="D33" s="12" t="n">
        <v>-125</v>
      </c>
      <c r="E33" s="13" t="n">
        <v>2.53</v>
      </c>
      <c r="F33" s="14">
        <f>IF(AND(G33&lt;&gt;"W",G33&lt;&gt;"L"),"",IF(G33="W",IF(D33&gt;0,D33/100,1),IF(D33&lt;0,D33/100,-1)))</f>
        <v/>
      </c>
      <c r="G33" s="11" t="inlineStr">
        <is>
          <t>L</t>
        </is>
      </c>
      <c r="H33" s="10" t="inlineStr">
        <is>
          <t>OTT 5, LAK 6</t>
        </is>
      </c>
      <c r="I33" s="10" t="inlineStr">
        <is>
          <t>Bet the pick when it has a line from -198 to +150 and a differential of 14.61 or less; home or away.</t>
        </is>
      </c>
    </row>
    <row r="34">
      <c r="A34" s="9" t="n">
        <v>46325</v>
      </c>
      <c r="B34" s="10" t="inlineStr">
        <is>
          <t>NJD @ VGK</t>
        </is>
      </c>
      <c r="C34" s="11" t="inlineStr">
        <is>
          <t>VGK</t>
        </is>
      </c>
      <c r="D34" s="12" t="n">
        <v>-115</v>
      </c>
      <c r="E34" s="13" t="n">
        <v>25.65</v>
      </c>
      <c r="F34" s="14">
        <f>IF(AND(G34&lt;&gt;"W",G34&lt;&gt;"L"),"",IF(G34="W",IF(D34&gt;0,D34/100,1),IF(D34&lt;0,D34/100,-1)))</f>
        <v/>
      </c>
      <c r="G34" s="11" t="inlineStr">
        <is>
          <t>L</t>
        </is>
      </c>
      <c r="H34" s="10" t="inlineStr">
        <is>
          <t>NJD 5, VGK 2</t>
        </is>
      </c>
      <c r="I34" s="10" t="inlineStr">
        <is>
          <t>Bet the pick when it has any line up to +136 and a differential of 31.34 or less; home picks only.</t>
        </is>
      </c>
    </row>
    <row r="35">
      <c r="A35" s="9" t="n">
        <v>46325</v>
      </c>
      <c r="B35" s="10" t="inlineStr">
        <is>
          <t>WPG @ FLA</t>
        </is>
      </c>
      <c r="C35" s="11" t="inlineStr">
        <is>
          <t>FLA</t>
        </is>
      </c>
      <c r="D35" s="12" t="n">
        <v>-225</v>
      </c>
      <c r="E35" s="13" t="n">
        <v>20.86</v>
      </c>
      <c r="F35" s="14">
        <f>IF(AND(G35&lt;&gt;"W",G35&lt;&gt;"L"),"",IF(G35="W",IF(D35&gt;0,D35/100,1),IF(D35&lt;0,D35/100,-1)))</f>
        <v/>
      </c>
      <c r="G35" s="11" t="inlineStr">
        <is>
          <t>W</t>
        </is>
      </c>
      <c r="H35" s="10" t="inlineStr">
        <is>
          <t>WPG 2, FLA 5</t>
        </is>
      </c>
      <c r="I35" s="10" t="inlineStr">
        <is>
          <t>Bet the pick when it has any line up to +136 and a differential of 31.34 or less; home picks only.</t>
        </is>
      </c>
    </row>
  </sheetData>
  <autoFilter ref="A8:I35"/>
  <conditionalFormatting sqref="A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9:F35">
    <cfRule type="cellIs" priority="3" operator="greaterThan" dxfId="2">
      <formula>0</formula>
    </cfRule>
    <cfRule type="cellIs" priority="4" operator="lessThan" dxfId="3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3" customWidth="1" min="5" max="5"/>
    <col width="8" customWidth="1" min="6" max="6"/>
    <col width="10" customWidth="1" min="7" max="7"/>
    <col width="9" customWidth="1" min="8" max="8"/>
    <col width="9" customWidth="1" min="9" max="9"/>
    <col width="20" customWidth="1" min="10" max="10"/>
    <col width="34" customWidth="1" min="11" max="11"/>
    <col width="12" customWidth="1" min="12" max="12"/>
  </cols>
  <sheetData>
    <row r="1">
      <c r="A1" s="1" t="inlineStr">
        <is>
          <t>Team score betting system, NHL 2026-27 (from Oct 6, 2026)</t>
        </is>
      </c>
    </row>
    <row r="2">
      <c r="A2" s="2" t="inlineStr">
        <is>
          <t>Pick the team with the higher team score in its previous game. Updated every morning and before each day's games. See the Notes tab.</t>
        </is>
      </c>
    </row>
    <row r="3">
      <c r="A3" s="15" t="inlineStr">
        <is>
          <t>Today's rule: Bet the pick when it has any line up to +136 and a differential of 20.86 or less; home picks only.</t>
        </is>
      </c>
    </row>
    <row r="4">
      <c r="A4" s="3" t="inlineStr">
        <is>
          <t>Total units</t>
        </is>
      </c>
      <c r="C4" s="3" t="inlineStr">
        <is>
          <t>Win %</t>
        </is>
      </c>
      <c r="E4" s="3" t="inlineStr">
        <is>
          <t>Record</t>
        </is>
      </c>
      <c r="G4" s="3" t="inlineStr">
        <is>
          <t>Bets</t>
        </is>
      </c>
    </row>
    <row r="5">
      <c r="A5" s="4">
        <f>SUM(H9:H191)</f>
        <v/>
      </c>
      <c r="C5" s="5">
        <f>IFERROR(COUNTIF(I9:I191,"W")/(COUNTIF(I9:I191,"W")+COUNTIF(I9:I191,"L")),"")</f>
        <v/>
      </c>
      <c r="E5" s="6">
        <f>COUNTIF(I9:I191,"W")&amp;"-"&amp;COUNTIF(I9:I191,"L")</f>
        <v/>
      </c>
      <c r="G5" s="7">
        <f>COUNTIF(I9:I191,"W")+COUNTIF(I9:I191,"L")</f>
        <v/>
      </c>
    </row>
    <row r="8">
      <c r="A8" s="8" t="inlineStr">
        <is>
          <t>Date</t>
        </is>
      </c>
      <c r="B8" s="8" t="inlineStr">
        <is>
          <t>Matchup</t>
        </is>
      </c>
      <c r="C8" s="8" t="inlineStr">
        <is>
          <t>Away team score</t>
        </is>
      </c>
      <c r="D8" s="8" t="inlineStr">
        <is>
          <t>Home team score</t>
        </is>
      </c>
      <c r="E8" s="8" t="inlineStr">
        <is>
          <t>Differential</t>
        </is>
      </c>
      <c r="F8" s="8" t="inlineStr">
        <is>
          <t>Pick</t>
        </is>
      </c>
      <c r="G8" s="8" t="inlineStr">
        <is>
          <t>Line</t>
        </is>
      </c>
      <c r="H8" s="8" t="inlineStr">
        <is>
          <t>Units</t>
        </is>
      </c>
      <c r="I8" s="8" t="inlineStr">
        <is>
          <t>Result</t>
        </is>
      </c>
      <c r="J8" s="8" t="inlineStr">
        <is>
          <t>Final score</t>
        </is>
      </c>
      <c r="K8" s="8" t="inlineStr">
        <is>
          <t>Line source</t>
        </is>
      </c>
      <c r="L8" s="8" t="inlineStr">
        <is>
          <t>Fits that day's rule</t>
        </is>
      </c>
    </row>
    <row r="9">
      <c r="A9" s="9" t="n">
        <v>46301</v>
      </c>
      <c r="B9" s="10" t="inlineStr">
        <is>
          <t>NSH @ TOR</t>
        </is>
      </c>
      <c r="C9" s="13" t="n">
        <v>71.65000000000001</v>
      </c>
      <c r="D9" s="13" t="n">
        <v>68.84999999999999</v>
      </c>
      <c r="E9" s="13">
        <f>IF(OR(C9="",D9=""),"",ABS(C9-D9))</f>
        <v/>
      </c>
      <c r="F9" s="11" t="inlineStr">
        <is>
          <t>NSH</t>
        </is>
      </c>
      <c r="G9" s="12" t="n">
        <v>140</v>
      </c>
      <c r="H9" s="14">
        <f>IF(OR(F9="",G9="",AND(I9&lt;&gt;"W",I9&lt;&gt;"L")),"",IF(I9="W",IF(G9&gt;0,G9/100,1),IF(G9&lt;0,G9/100,-1)))</f>
        <v/>
      </c>
      <c r="I9" s="11" t="inlineStr">
        <is>
          <t>L</t>
        </is>
      </c>
      <c r="J9" s="10" t="inlineStr">
        <is>
          <t>NSH 4, TOR 5</t>
        </is>
      </c>
      <c r="K9" s="10" t="inlineStr">
        <is>
          <t>DraftKings closing</t>
        </is>
      </c>
      <c r="L9" s="11" t="inlineStr"/>
    </row>
    <row r="10">
      <c r="A10" s="9" t="n">
        <v>46301</v>
      </c>
      <c r="B10" s="10" t="inlineStr">
        <is>
          <t>CAR @ MTL</t>
        </is>
      </c>
      <c r="C10" s="13" t="n">
        <v>86.17</v>
      </c>
      <c r="D10" s="13" t="n">
        <v>72.05</v>
      </c>
      <c r="E10" s="13">
        <f>IF(OR(C10="",D10=""),"",ABS(C10-D10))</f>
        <v/>
      </c>
      <c r="F10" s="11" t="inlineStr">
        <is>
          <t>CAR</t>
        </is>
      </c>
      <c r="G10" s="12" t="n">
        <v>-130</v>
      </c>
      <c r="H10" s="14">
        <f>IF(OR(F10="",G10="",AND(I10&lt;&gt;"W",I10&lt;&gt;"L")),"",IF(I10="W",IF(G10&gt;0,G10/100,1),IF(G10&lt;0,G10/100,-1)))</f>
        <v/>
      </c>
      <c r="I10" s="11" t="inlineStr">
        <is>
          <t>W</t>
        </is>
      </c>
      <c r="J10" s="10" t="inlineStr">
        <is>
          <t>CAR 6, MTL 4</t>
        </is>
      </c>
      <c r="K10" s="10" t="inlineStr">
        <is>
          <t>DraftKings closing</t>
        </is>
      </c>
      <c r="L10" s="11" t="inlineStr"/>
    </row>
    <row r="11">
      <c r="A11" s="9" t="n">
        <v>46301</v>
      </c>
      <c r="B11" s="10" t="inlineStr">
        <is>
          <t>OTT @ DET</t>
        </is>
      </c>
      <c r="C11" s="13" t="n">
        <v>84.73</v>
      </c>
      <c r="D11" s="13" t="n">
        <v>73.77</v>
      </c>
      <c r="E11" s="13">
        <f>IF(OR(C11="",D11=""),"",ABS(C11-D11))</f>
        <v/>
      </c>
      <c r="F11" s="11" t="inlineStr">
        <is>
          <t>OTT</t>
        </is>
      </c>
      <c r="G11" s="12" t="n">
        <v>110</v>
      </c>
      <c r="H11" s="14">
        <f>IF(OR(F11="",G11="",AND(I11&lt;&gt;"W",I11&lt;&gt;"L")),"",IF(I11="W",IF(G11&gt;0,G11/100,1),IF(G11&lt;0,G11/100,-1)))</f>
        <v/>
      </c>
      <c r="I11" s="11" t="inlineStr">
        <is>
          <t>L</t>
        </is>
      </c>
      <c r="J11" s="10" t="inlineStr">
        <is>
          <t>OTT 3, DET 5</t>
        </is>
      </c>
      <c r="K11" s="10" t="inlineStr">
        <is>
          <t>DraftKings closing</t>
        </is>
      </c>
      <c r="L11" s="11" t="inlineStr"/>
    </row>
    <row r="12">
      <c r="A12" s="9" t="n">
        <v>46301</v>
      </c>
      <c r="B12" s="10" t="inlineStr">
        <is>
          <t>UTA @ NJD</t>
        </is>
      </c>
      <c r="C12" s="13" t="n">
        <v>73.40000000000001</v>
      </c>
      <c r="D12" s="13" t="n">
        <v>58.64</v>
      </c>
      <c r="E12" s="13">
        <f>IF(OR(C12="",D12=""),"",ABS(C12-D12))</f>
        <v/>
      </c>
      <c r="F12" s="11" t="inlineStr">
        <is>
          <t>UTA</t>
        </is>
      </c>
      <c r="G12" s="12" t="n">
        <v>105</v>
      </c>
      <c r="H12" s="14">
        <f>IF(OR(F12="",G12="",AND(I12&lt;&gt;"W",I12&lt;&gt;"L")),"",IF(I12="W",IF(G12&gt;0,G12/100,1),IF(G12&lt;0,G12/100,-1)))</f>
        <v/>
      </c>
      <c r="I12" s="11" t="inlineStr">
        <is>
          <t>W</t>
        </is>
      </c>
      <c r="J12" s="10" t="inlineStr">
        <is>
          <t>UTA 5, NJD 3</t>
        </is>
      </c>
      <c r="K12" s="10" t="inlineStr">
        <is>
          <t>DraftKings closing</t>
        </is>
      </c>
      <c r="L12" s="11" t="inlineStr"/>
    </row>
    <row r="13">
      <c r="A13" s="9" t="n">
        <v>46301</v>
      </c>
      <c r="B13" s="10" t="inlineStr">
        <is>
          <t>MIN @ BUF</t>
        </is>
      </c>
      <c r="C13" s="13" t="n">
        <v>75.03</v>
      </c>
      <c r="D13" s="13" t="n">
        <v>82.04000000000001</v>
      </c>
      <c r="E13" s="13">
        <f>IF(OR(C13="",D13=""),"",ABS(C13-D13))</f>
        <v/>
      </c>
      <c r="F13" s="11" t="inlineStr">
        <is>
          <t>BUF</t>
        </is>
      </c>
      <c r="G13" s="12" t="n">
        <v>-108</v>
      </c>
      <c r="H13" s="14">
        <f>IF(OR(F13="",G13="",AND(I13&lt;&gt;"W",I13&lt;&gt;"L")),"",IF(I13="W",IF(G13&gt;0,G13/100,1),IF(G13&lt;0,G13/100,-1)))</f>
        <v/>
      </c>
      <c r="I13" s="11" t="inlineStr">
        <is>
          <t>W</t>
        </is>
      </c>
      <c r="J13" s="10" t="inlineStr">
        <is>
          <t>MIN 2, BUF 3</t>
        </is>
      </c>
      <c r="K13" s="10" t="inlineStr">
        <is>
          <t>DraftKings closing</t>
        </is>
      </c>
      <c r="L13" s="11" t="inlineStr"/>
    </row>
    <row r="14">
      <c r="A14" s="9" t="n">
        <v>46301</v>
      </c>
      <c r="B14" s="10" t="inlineStr">
        <is>
          <t>NYI @ NYR</t>
        </is>
      </c>
      <c r="C14" s="13" t="n">
        <v>81.36</v>
      </c>
      <c r="D14" s="13" t="n">
        <v>66.59999999999999</v>
      </c>
      <c r="E14" s="13">
        <f>IF(OR(C14="",D14=""),"",ABS(C14-D14))</f>
        <v/>
      </c>
      <c r="F14" s="11" t="inlineStr">
        <is>
          <t>NYI</t>
        </is>
      </c>
      <c r="G14" s="12" t="n">
        <v>136</v>
      </c>
      <c r="H14" s="14">
        <f>IF(OR(F14="",G14="",AND(I14&lt;&gt;"W",I14&lt;&gt;"L")),"",IF(I14="W",IF(G14&gt;0,G14/100,1),IF(G14&lt;0,G14/100,-1)))</f>
        <v/>
      </c>
      <c r="I14" s="11" t="inlineStr">
        <is>
          <t>L</t>
        </is>
      </c>
      <c r="J14" s="10" t="inlineStr">
        <is>
          <t>NYI 2, NYR 5</t>
        </is>
      </c>
      <c r="K14" s="10" t="inlineStr">
        <is>
          <t>DraftKings closing</t>
        </is>
      </c>
      <c r="L14" s="11" t="inlineStr"/>
    </row>
    <row r="15">
      <c r="A15" s="9" t="n">
        <v>46301</v>
      </c>
      <c r="B15" s="10" t="inlineStr">
        <is>
          <t>STL @ CHI</t>
        </is>
      </c>
      <c r="C15" s="13" t="n">
        <v>48.37</v>
      </c>
      <c r="D15" s="13" t="n">
        <v>57.96</v>
      </c>
      <c r="E15" s="13">
        <f>IF(OR(C15="",D15=""),"",ABS(C15-D15))</f>
        <v/>
      </c>
      <c r="F15" s="11" t="inlineStr">
        <is>
          <t>CHI</t>
        </is>
      </c>
      <c r="G15" s="12" t="n">
        <v>124</v>
      </c>
      <c r="H15" s="14">
        <f>IF(OR(F15="",G15="",AND(I15&lt;&gt;"W",I15&lt;&gt;"L")),"",IF(I15="W",IF(G15&gt;0,G15/100,1),IF(G15&lt;0,G15/100,-1)))</f>
        <v/>
      </c>
      <c r="I15" s="11" t="inlineStr">
        <is>
          <t>W</t>
        </is>
      </c>
      <c r="J15" s="10" t="inlineStr">
        <is>
          <t>STL 2, CHI 4</t>
        </is>
      </c>
      <c r="K15" s="10" t="inlineStr">
        <is>
          <t>DraftKings closing</t>
        </is>
      </c>
      <c r="L15" s="11" t="inlineStr"/>
    </row>
    <row r="16">
      <c r="A16" s="9" t="n">
        <v>46301</v>
      </c>
      <c r="B16" s="10" t="inlineStr">
        <is>
          <t>VGK @ SEA</t>
        </is>
      </c>
      <c r="C16" s="13" t="n">
        <v>83.02</v>
      </c>
      <c r="D16" s="13" t="n">
        <v>80.59</v>
      </c>
      <c r="E16" s="13">
        <f>IF(OR(C16="",D16=""),"",ABS(C16-D16))</f>
        <v/>
      </c>
      <c r="F16" s="11" t="inlineStr">
        <is>
          <t>VGK</t>
        </is>
      </c>
      <c r="G16" s="12" t="n">
        <v>-166</v>
      </c>
      <c r="H16" s="14">
        <f>IF(OR(F16="",G16="",AND(I16&lt;&gt;"W",I16&lt;&gt;"L")),"",IF(I16="W",IF(G16&gt;0,G16/100,1),IF(G16&lt;0,G16/100,-1)))</f>
        <v/>
      </c>
      <c r="I16" s="11" t="inlineStr">
        <is>
          <t>W</t>
        </is>
      </c>
      <c r="J16" s="10" t="inlineStr">
        <is>
          <t>VGK 6, SEA 2</t>
        </is>
      </c>
      <c r="K16" s="10" t="inlineStr">
        <is>
          <t>DraftKings closing</t>
        </is>
      </c>
      <c r="L16" s="11" t="inlineStr"/>
    </row>
    <row r="17">
      <c r="A17" s="9" t="n">
        <v>46301</v>
      </c>
      <c r="B17" s="10" t="inlineStr">
        <is>
          <t>FLA @ LAK</t>
        </is>
      </c>
      <c r="C17" s="13" t="n">
        <v>74.5</v>
      </c>
      <c r="D17" s="13" t="n">
        <v>75.56999999999999</v>
      </c>
      <c r="E17" s="13">
        <f>IF(OR(C17="",D17=""),"",ABS(C17-D17))</f>
        <v/>
      </c>
      <c r="F17" s="11" t="inlineStr">
        <is>
          <t>LAK</t>
        </is>
      </c>
      <c r="G17" s="12" t="n">
        <v>-102</v>
      </c>
      <c r="H17" s="14">
        <f>IF(OR(F17="",G17="",AND(I17&lt;&gt;"W",I17&lt;&gt;"L")),"",IF(I17="W",IF(G17&gt;0,G17/100,1),IF(G17&lt;0,G17/100,-1)))</f>
        <v/>
      </c>
      <c r="I17" s="11" t="inlineStr">
        <is>
          <t>L</t>
        </is>
      </c>
      <c r="J17" s="10" t="inlineStr">
        <is>
          <t>FLA 2, LAK 1</t>
        </is>
      </c>
      <c r="K17" s="10" t="inlineStr">
        <is>
          <t>DraftKings closing</t>
        </is>
      </c>
      <c r="L17" s="11" t="inlineStr"/>
    </row>
    <row r="18">
      <c r="A18" s="9" t="n">
        <v>46302</v>
      </c>
      <c r="B18" s="10" t="inlineStr">
        <is>
          <t>PIT @ WSH</t>
        </is>
      </c>
      <c r="C18" s="13" t="n">
        <v>67.8</v>
      </c>
      <c r="D18" s="13" t="n">
        <v>61.44</v>
      </c>
      <c r="E18" s="13">
        <f>IF(OR(C18="",D18=""),"",ABS(C18-D18))</f>
        <v/>
      </c>
      <c r="F18" s="11" t="inlineStr">
        <is>
          <t>PIT</t>
        </is>
      </c>
      <c r="G18" s="12" t="n">
        <v>130</v>
      </c>
      <c r="H18" s="14">
        <f>IF(OR(F18="",G18="",AND(I18&lt;&gt;"W",I18&lt;&gt;"L")),"",IF(I18="W",IF(G18&gt;0,G18/100,1),IF(G18&lt;0,G18/100,-1)))</f>
        <v/>
      </c>
      <c r="I18" s="11" t="inlineStr">
        <is>
          <t>L</t>
        </is>
      </c>
      <c r="J18" s="10" t="inlineStr">
        <is>
          <t>PIT 3, WSH 5</t>
        </is>
      </c>
      <c r="K18" s="10" t="inlineStr">
        <is>
          <t>DraftKings closing</t>
        </is>
      </c>
      <c r="L18" s="11" t="inlineStr"/>
    </row>
    <row r="19">
      <c r="A19" s="9" t="n">
        <v>46302</v>
      </c>
      <c r="B19" s="10" t="inlineStr">
        <is>
          <t>COL @ WPG</t>
        </is>
      </c>
      <c r="C19" s="13" t="n">
        <v>91.63</v>
      </c>
      <c r="D19" s="13" t="n">
        <v>72.2</v>
      </c>
      <c r="E19" s="13">
        <f>IF(OR(C19="",D19=""),"",ABS(C19-D19))</f>
        <v/>
      </c>
      <c r="F19" s="11" t="inlineStr">
        <is>
          <t>COL</t>
        </is>
      </c>
      <c r="G19" s="12" t="n">
        <v>-198</v>
      </c>
      <c r="H19" s="14">
        <f>IF(OR(F19="",G19="",AND(I19&lt;&gt;"W",I19&lt;&gt;"L")),"",IF(I19="W",IF(G19&gt;0,G19/100,1),IF(G19&lt;0,G19/100,-1)))</f>
        <v/>
      </c>
      <c r="I19" s="11" t="inlineStr">
        <is>
          <t>L</t>
        </is>
      </c>
      <c r="J19" s="10" t="inlineStr">
        <is>
          <t>COL 2, WPG 3</t>
        </is>
      </c>
      <c r="K19" s="10" t="inlineStr">
        <is>
          <t>DraftKings closing</t>
        </is>
      </c>
      <c r="L19" s="11" t="inlineStr"/>
    </row>
    <row r="20">
      <c r="A20" s="9" t="n">
        <v>46302</v>
      </c>
      <c r="B20" s="10" t="inlineStr">
        <is>
          <t>EDM @ ANA</t>
        </is>
      </c>
      <c r="C20" s="13" t="n">
        <v>80.11</v>
      </c>
      <c r="D20" s="13" t="n">
        <v>65.5</v>
      </c>
      <c r="E20" s="13">
        <f>IF(OR(C20="",D20=""),"",ABS(C20-D20))</f>
        <v/>
      </c>
      <c r="F20" s="11" t="inlineStr">
        <is>
          <t>EDM</t>
        </is>
      </c>
      <c r="G20" s="12" t="n">
        <v>-135</v>
      </c>
      <c r="H20" s="14">
        <f>IF(OR(F20="",G20="",AND(I20&lt;&gt;"W",I20&lt;&gt;"L")),"",IF(I20="W",IF(G20&gt;0,G20/100,1),IF(G20&lt;0,G20/100,-1)))</f>
        <v/>
      </c>
      <c r="I20" s="11" t="inlineStr">
        <is>
          <t>W</t>
        </is>
      </c>
      <c r="J20" s="10" t="inlineStr">
        <is>
          <t>EDM 5, ANA 2</t>
        </is>
      </c>
      <c r="K20" s="10" t="inlineStr">
        <is>
          <t>DraftKings closing</t>
        </is>
      </c>
      <c r="L20" s="11" t="inlineStr"/>
    </row>
    <row r="21">
      <c r="A21" s="9" t="n">
        <v>46303</v>
      </c>
      <c r="B21" s="10" t="inlineStr">
        <is>
          <t>UTA @ BOS</t>
        </is>
      </c>
      <c r="C21" s="13" t="n">
        <v>78.8</v>
      </c>
      <c r="D21" s="13" t="n">
        <v>55.27</v>
      </c>
      <c r="E21" s="13">
        <f>IF(OR(C21="",D21=""),"",ABS(C21-D21))</f>
        <v/>
      </c>
      <c r="F21" s="11" t="inlineStr">
        <is>
          <t>UTA</t>
        </is>
      </c>
      <c r="G21" s="12" t="n">
        <v>-142</v>
      </c>
      <c r="H21" s="14">
        <f>IF(OR(F21="",G21="",AND(I21&lt;&gt;"W",I21&lt;&gt;"L")),"",IF(I21="W",IF(G21&gt;0,G21/100,1),IF(G21&lt;0,G21/100,-1)))</f>
        <v/>
      </c>
      <c r="I21" s="11" t="inlineStr">
        <is>
          <t>L</t>
        </is>
      </c>
      <c r="J21" s="10" t="inlineStr">
        <is>
          <t>UTA 1, BOS 6</t>
        </is>
      </c>
      <c r="K21" s="10" t="inlineStr">
        <is>
          <t>DraftKings closing</t>
        </is>
      </c>
      <c r="L21" s="11" t="inlineStr"/>
    </row>
    <row r="22">
      <c r="A22" s="9" t="n">
        <v>46303</v>
      </c>
      <c r="B22" s="10" t="inlineStr">
        <is>
          <t>DAL @ BUF</t>
        </is>
      </c>
      <c r="C22" s="13" t="n">
        <v>98.77</v>
      </c>
      <c r="D22" s="13" t="n">
        <v>78.45999999999999</v>
      </c>
      <c r="E22" s="13">
        <f>IF(OR(C22="",D22=""),"",ABS(C22-D22))</f>
        <v/>
      </c>
      <c r="F22" s="11" t="inlineStr">
        <is>
          <t>DAL</t>
        </is>
      </c>
      <c r="G22" s="12" t="n">
        <v>-122</v>
      </c>
      <c r="H22" s="14">
        <f>IF(OR(F22="",G22="",AND(I22&lt;&gt;"W",I22&lt;&gt;"L")),"",IF(I22="W",IF(G22&gt;0,G22/100,1),IF(G22&lt;0,G22/100,-1)))</f>
        <v/>
      </c>
      <c r="I22" s="11" t="inlineStr">
        <is>
          <t>W</t>
        </is>
      </c>
      <c r="J22" s="10" t="inlineStr">
        <is>
          <t>DAL 4, BUF 0</t>
        </is>
      </c>
      <c r="K22" s="10" t="inlineStr">
        <is>
          <t>DraftKings closing</t>
        </is>
      </c>
      <c r="L22" s="11" t="inlineStr"/>
    </row>
    <row r="23">
      <c r="A23" s="9" t="n">
        <v>46303</v>
      </c>
      <c r="B23" s="10" t="inlineStr">
        <is>
          <t>NSH @ MTL</t>
        </is>
      </c>
      <c r="C23" s="13" t="n">
        <v>62.47</v>
      </c>
      <c r="D23" s="13" t="n">
        <v>53.47</v>
      </c>
      <c r="E23" s="13">
        <f>IF(OR(C23="",D23=""),"",ABS(C23-D23))</f>
        <v/>
      </c>
      <c r="F23" s="11" t="inlineStr">
        <is>
          <t>NSH</t>
        </is>
      </c>
      <c r="G23" s="12" t="n">
        <v>140</v>
      </c>
      <c r="H23" s="14">
        <f>IF(OR(F23="",G23="",AND(I23&lt;&gt;"W",I23&lt;&gt;"L")),"",IF(I23="W",IF(G23&gt;0,G23/100,1),IF(G23&lt;0,G23/100,-1)))</f>
        <v/>
      </c>
      <c r="I23" s="11" t="inlineStr">
        <is>
          <t>W</t>
        </is>
      </c>
      <c r="J23" s="10" t="inlineStr">
        <is>
          <t>NSH 5, MTL 2</t>
        </is>
      </c>
      <c r="K23" s="10" t="inlineStr">
        <is>
          <t>DraftKings closing</t>
        </is>
      </c>
      <c r="L23" s="11" t="inlineStr"/>
    </row>
    <row r="24">
      <c r="A24" s="9" t="n">
        <v>46303</v>
      </c>
      <c r="B24" s="10" t="inlineStr">
        <is>
          <t>PHI @ OTT</t>
        </is>
      </c>
      <c r="C24" s="13" t="n">
        <v>48.92</v>
      </c>
      <c r="D24" s="13" t="n">
        <v>62.49</v>
      </c>
      <c r="E24" s="13">
        <f>IF(OR(C24="",D24=""),"",ABS(C24-D24))</f>
        <v/>
      </c>
      <c r="F24" s="11" t="inlineStr">
        <is>
          <t>OTT</t>
        </is>
      </c>
      <c r="G24" s="12" t="n">
        <v>-180</v>
      </c>
      <c r="H24" s="14">
        <f>IF(OR(F24="",G24="",AND(I24&lt;&gt;"W",I24&lt;&gt;"L")),"",IF(I24="W",IF(G24&gt;0,G24/100,1),IF(G24&lt;0,G24/100,-1)))</f>
        <v/>
      </c>
      <c r="I24" s="11" t="inlineStr">
        <is>
          <t>W</t>
        </is>
      </c>
      <c r="J24" s="10" t="inlineStr">
        <is>
          <t>PHI 1, OTT 2</t>
        </is>
      </c>
      <c r="K24" s="10" t="inlineStr">
        <is>
          <t>DraftKings closing</t>
        </is>
      </c>
      <c r="L24" s="11" t="inlineStr"/>
    </row>
    <row r="25">
      <c r="A25" s="9" t="n">
        <v>46303</v>
      </c>
      <c r="B25" s="10" t="inlineStr">
        <is>
          <t>MIN @ TBL</t>
        </is>
      </c>
      <c r="C25" s="13" t="n">
        <v>61.54</v>
      </c>
      <c r="D25" s="13" t="n">
        <v>91.08</v>
      </c>
      <c r="E25" s="13">
        <f>IF(OR(C25="",D25=""),"",ABS(C25-D25))</f>
        <v/>
      </c>
      <c r="F25" s="11" t="inlineStr">
        <is>
          <t>TBL</t>
        </is>
      </c>
      <c r="G25" s="12" t="n">
        <v>-142</v>
      </c>
      <c r="H25" s="14">
        <f>IF(OR(F25="",G25="",AND(I25&lt;&gt;"W",I25&lt;&gt;"L")),"",IF(I25="W",IF(G25&gt;0,G25/100,1),IF(G25&lt;0,G25/100,-1)))</f>
        <v/>
      </c>
      <c r="I25" s="11" t="inlineStr">
        <is>
          <t>W</t>
        </is>
      </c>
      <c r="J25" s="10" t="inlineStr">
        <is>
          <t>MIN 2, TBL 3</t>
        </is>
      </c>
      <c r="K25" s="10" t="inlineStr">
        <is>
          <t>DraftKings closing</t>
        </is>
      </c>
      <c r="L25" s="11" t="inlineStr"/>
    </row>
    <row r="26">
      <c r="A26" s="9" t="n">
        <v>46303</v>
      </c>
      <c r="B26" s="10" t="inlineStr">
        <is>
          <t>VAN @ CAR</t>
        </is>
      </c>
      <c r="C26" s="13" t="n">
        <v>56.98</v>
      </c>
      <c r="D26" s="13" t="n">
        <v>86.53</v>
      </c>
      <c r="E26" s="13">
        <f>IF(OR(C26="",D26=""),"",ABS(C26-D26))</f>
        <v/>
      </c>
      <c r="F26" s="11" t="inlineStr">
        <is>
          <t>CAR</t>
        </is>
      </c>
      <c r="G26" s="12" t="n">
        <v>-380</v>
      </c>
      <c r="H26" s="14">
        <f>IF(OR(F26="",G26="",AND(I26&lt;&gt;"W",I26&lt;&gt;"L")),"",IF(I26="W",IF(G26&gt;0,G26/100,1),IF(G26&lt;0,G26/100,-1)))</f>
        <v/>
      </c>
      <c r="I26" s="11" t="inlineStr">
        <is>
          <t>W</t>
        </is>
      </c>
      <c r="J26" s="10" t="inlineStr">
        <is>
          <t>VAN 2, CAR 7</t>
        </is>
      </c>
      <c r="K26" s="10" t="inlineStr">
        <is>
          <t>DraftKings closing</t>
        </is>
      </c>
      <c r="L26" s="11" t="inlineStr"/>
    </row>
    <row r="27">
      <c r="A27" s="9" t="n">
        <v>46303</v>
      </c>
      <c r="B27" s="10" t="inlineStr">
        <is>
          <t>CHI @ NYI</t>
        </is>
      </c>
      <c r="C27" s="13" t="n">
        <v>61.82</v>
      </c>
      <c r="D27" s="13" t="n">
        <v>62.01</v>
      </c>
      <c r="E27" s="13">
        <f>IF(OR(C27="",D27=""),"",ABS(C27-D27))</f>
        <v/>
      </c>
      <c r="F27" s="11" t="inlineStr">
        <is>
          <t>NYI</t>
        </is>
      </c>
      <c r="G27" s="12" t="n">
        <v>-185</v>
      </c>
      <c r="H27" s="14">
        <f>IF(OR(F27="",G27="",AND(I27&lt;&gt;"W",I27&lt;&gt;"L")),"",IF(I27="W",IF(G27&gt;0,G27/100,1),IF(G27&lt;0,G27/100,-1)))</f>
        <v/>
      </c>
      <c r="I27" s="11" t="inlineStr">
        <is>
          <t>W</t>
        </is>
      </c>
      <c r="J27" s="10" t="inlineStr">
        <is>
          <t>CHI 1, NYI 4</t>
        </is>
      </c>
      <c r="K27" s="10" t="inlineStr">
        <is>
          <t>DraftKings closing</t>
        </is>
      </c>
      <c r="L27" s="11" t="inlineStr"/>
    </row>
    <row r="28">
      <c r="A28" s="9" t="n">
        <v>46303</v>
      </c>
      <c r="B28" s="10" t="inlineStr">
        <is>
          <t>SJS @ STL</t>
        </is>
      </c>
      <c r="C28" s="13" t="n">
        <v>41.23</v>
      </c>
      <c r="D28" s="13" t="n">
        <v>78.18000000000001</v>
      </c>
      <c r="E28" s="13">
        <f>IF(OR(C28="",D28=""),"",ABS(C28-D28))</f>
        <v/>
      </c>
      <c r="F28" s="11" t="inlineStr">
        <is>
          <t>STL</t>
        </is>
      </c>
      <c r="G28" s="12" t="n">
        <v>-162</v>
      </c>
      <c r="H28" s="14">
        <f>IF(OR(F28="",G28="",AND(I28&lt;&gt;"W",I28&lt;&gt;"L")),"",IF(I28="W",IF(G28&gt;0,G28/100,1),IF(G28&lt;0,G28/100,-1)))</f>
        <v/>
      </c>
      <c r="I28" s="11" t="inlineStr">
        <is>
          <t>L</t>
        </is>
      </c>
      <c r="J28" s="10" t="inlineStr">
        <is>
          <t>SJS 3, STL 2</t>
        </is>
      </c>
      <c r="K28" s="10" t="inlineStr">
        <is>
          <t>DraftKings closing</t>
        </is>
      </c>
      <c r="L28" s="11" t="inlineStr"/>
    </row>
    <row r="29">
      <c r="A29" s="9" t="n">
        <v>46303</v>
      </c>
      <c r="B29" s="10" t="inlineStr">
        <is>
          <t>COL @ CGY</t>
        </is>
      </c>
      <c r="C29" s="13" t="n">
        <v>73.22</v>
      </c>
      <c r="D29" s="13" t="n">
        <v>59.41</v>
      </c>
      <c r="E29" s="13">
        <f>IF(OR(C29="",D29=""),"",ABS(C29-D29))</f>
        <v/>
      </c>
      <c r="F29" s="11" t="inlineStr">
        <is>
          <t>COL</t>
        </is>
      </c>
      <c r="G29" s="12" t="n">
        <v>-238</v>
      </c>
      <c r="H29" s="14">
        <f>IF(OR(F29="",G29="",AND(I29&lt;&gt;"W",I29&lt;&gt;"L")),"",IF(I29="W",IF(G29&gt;0,G29/100,1),IF(G29&lt;0,G29/100,-1)))</f>
        <v/>
      </c>
      <c r="I29" s="11" t="inlineStr">
        <is>
          <t>W</t>
        </is>
      </c>
      <c r="J29" s="10" t="inlineStr">
        <is>
          <t>COL 7, CGY 3</t>
        </is>
      </c>
      <c r="K29" s="10" t="inlineStr">
        <is>
          <t>DraftKings closing</t>
        </is>
      </c>
      <c r="L29" s="11" t="inlineStr"/>
    </row>
    <row r="30">
      <c r="A30" s="9" t="n">
        <v>46303</v>
      </c>
      <c r="B30" s="10" t="inlineStr">
        <is>
          <t>TOR @ VGK</t>
        </is>
      </c>
      <c r="C30" s="13" t="n">
        <v>77.53</v>
      </c>
      <c r="D30" s="13" t="n">
        <v>90.27</v>
      </c>
      <c r="E30" s="13">
        <f>IF(OR(C30="",D30=""),"",ABS(C30-D30))</f>
        <v/>
      </c>
      <c r="F30" s="11" t="inlineStr">
        <is>
          <t>VGK</t>
        </is>
      </c>
      <c r="G30" s="12" t="n">
        <v>-170</v>
      </c>
      <c r="H30" s="14">
        <f>IF(OR(F30="",G30="",AND(I30&lt;&gt;"W",I30&lt;&gt;"L")),"",IF(I30="W",IF(G30&gt;0,G30/100,1),IF(G30&lt;0,G30/100,-1)))</f>
        <v/>
      </c>
      <c r="I30" s="11" t="inlineStr">
        <is>
          <t>W</t>
        </is>
      </c>
      <c r="J30" s="10" t="inlineStr">
        <is>
          <t>TOR 3, VGK 4</t>
        </is>
      </c>
      <c r="K30" s="10" t="inlineStr">
        <is>
          <t>DraftKings closing</t>
        </is>
      </c>
      <c r="L30" s="11" t="inlineStr"/>
    </row>
    <row r="31">
      <c r="A31" s="9" t="n">
        <v>46304</v>
      </c>
      <c r="B31" s="10" t="inlineStr">
        <is>
          <t>SEA @ DET</t>
        </is>
      </c>
      <c r="C31" s="13" t="n">
        <v>49.73</v>
      </c>
      <c r="D31" s="13" t="n">
        <v>77.51000000000001</v>
      </c>
      <c r="E31" s="13">
        <f>IF(OR(C31="",D31=""),"",ABS(C31-D31))</f>
        <v/>
      </c>
      <c r="F31" s="11" t="inlineStr">
        <is>
          <t>DET</t>
        </is>
      </c>
      <c r="G31" s="12" t="n">
        <v>-155</v>
      </c>
      <c r="H31" s="14">
        <f>IF(OR(F31="",G31="",AND(I31&lt;&gt;"W",I31&lt;&gt;"L")),"",IF(I31="W",IF(G31&gt;0,G31/100,1),IF(G31&lt;0,G31/100,-1)))</f>
        <v/>
      </c>
      <c r="I31" s="11" t="inlineStr">
        <is>
          <t>L</t>
        </is>
      </c>
      <c r="J31" s="10" t="inlineStr">
        <is>
          <t>SEA 6, DET 3</t>
        </is>
      </c>
      <c r="K31" s="10" t="inlineStr">
        <is>
          <t>DraftKings closing</t>
        </is>
      </c>
      <c r="L31" s="11" t="inlineStr"/>
    </row>
    <row r="32">
      <c r="A32" s="9" t="n">
        <v>46304</v>
      </c>
      <c r="B32" s="10" t="inlineStr">
        <is>
          <t>NYR @ WSH</t>
        </is>
      </c>
      <c r="C32" s="13" t="n">
        <v>77.98999999999999</v>
      </c>
      <c r="D32" s="13" t="n">
        <v>79.16</v>
      </c>
      <c r="E32" s="13">
        <f>IF(OR(C32="",D32=""),"",ABS(C32-D32))</f>
        <v/>
      </c>
      <c r="F32" s="11" t="inlineStr">
        <is>
          <t>WSH</t>
        </is>
      </c>
      <c r="G32" s="12" t="n">
        <v>-142</v>
      </c>
      <c r="H32" s="14">
        <f>IF(OR(F32="",G32="",AND(I32&lt;&gt;"W",I32&lt;&gt;"L")),"",IF(I32="W",IF(G32&gt;0,G32/100,1),IF(G32&lt;0,G32/100,-1)))</f>
        <v/>
      </c>
      <c r="I32" s="11" t="inlineStr">
        <is>
          <t>W</t>
        </is>
      </c>
      <c r="J32" s="10" t="inlineStr">
        <is>
          <t>NYR 1, WSH 3</t>
        </is>
      </c>
      <c r="K32" s="10" t="inlineStr">
        <is>
          <t>DraftKings closing</t>
        </is>
      </c>
      <c r="L32" s="11" t="inlineStr"/>
    </row>
    <row r="33">
      <c r="A33" s="9" t="n">
        <v>46304</v>
      </c>
      <c r="B33" s="10" t="inlineStr">
        <is>
          <t>PIT @ CBJ</t>
        </is>
      </c>
      <c r="C33" s="13" t="n">
        <v>60.84</v>
      </c>
      <c r="D33" s="13" t="n">
        <v>54.7</v>
      </c>
      <c r="E33" s="13">
        <f>IF(OR(C33="",D33=""),"",ABS(C33-D33))</f>
        <v/>
      </c>
      <c r="F33" s="11" t="inlineStr">
        <is>
          <t>PIT</t>
        </is>
      </c>
      <c r="G33" s="12" t="n">
        <v>-108</v>
      </c>
      <c r="H33" s="14">
        <f>IF(OR(F33="",G33="",AND(I33&lt;&gt;"W",I33&lt;&gt;"L")),"",IF(I33="W",IF(G33&gt;0,G33/100,1),IF(G33&lt;0,G33/100,-1)))</f>
        <v/>
      </c>
      <c r="I33" s="11" t="inlineStr">
        <is>
          <t>L</t>
        </is>
      </c>
      <c r="J33" s="10" t="inlineStr">
        <is>
          <t>PIT 2, CBJ 3</t>
        </is>
      </c>
      <c r="K33" s="10" t="inlineStr">
        <is>
          <t>DraftKings closing</t>
        </is>
      </c>
      <c r="L33" s="11" t="inlineStr"/>
    </row>
    <row r="34">
      <c r="A34" s="9" t="n">
        <v>46304</v>
      </c>
      <c r="B34" s="10" t="inlineStr">
        <is>
          <t>ANA @ WPG</t>
        </is>
      </c>
      <c r="C34" s="13" t="n">
        <v>68.78</v>
      </c>
      <c r="D34" s="13" t="n">
        <v>66.78</v>
      </c>
      <c r="E34" s="13">
        <f>IF(OR(C34="",D34=""),"",ABS(C34-D34))</f>
        <v/>
      </c>
      <c r="F34" s="11" t="inlineStr">
        <is>
          <t>ANA</t>
        </is>
      </c>
      <c r="G34" s="12" t="n">
        <v>100</v>
      </c>
      <c r="H34" s="14">
        <f>IF(OR(F34="",G34="",AND(I34&lt;&gt;"W",I34&lt;&gt;"L")),"",IF(I34="W",IF(G34&gt;0,G34/100,1),IF(G34&lt;0,G34/100,-1)))</f>
        <v/>
      </c>
      <c r="I34" s="11" t="inlineStr">
        <is>
          <t>W</t>
        </is>
      </c>
      <c r="J34" s="10" t="inlineStr">
        <is>
          <t>ANA 5, WPG 1</t>
        </is>
      </c>
      <c r="K34" s="10" t="inlineStr">
        <is>
          <t>DraftKings closing</t>
        </is>
      </c>
      <c r="L34" s="11" t="inlineStr"/>
    </row>
    <row r="35">
      <c r="A35" s="9" t="n">
        <v>46305</v>
      </c>
      <c r="B35" s="10" t="inlineStr">
        <is>
          <t>PHI @ BOS</t>
        </is>
      </c>
      <c r="C35" s="13" t="n">
        <v>72.36</v>
      </c>
      <c r="D35" s="13" t="n">
        <v>73.25</v>
      </c>
      <c r="E35" s="13">
        <f>IF(OR(C35="",D35=""),"",ABS(C35-D35))</f>
        <v/>
      </c>
      <c r="F35" s="11" t="inlineStr">
        <is>
          <t>BOS</t>
        </is>
      </c>
      <c r="G35" s="12" t="n">
        <v>-148</v>
      </c>
      <c r="H35" s="14">
        <f>IF(OR(F35="",G35="",AND(I35&lt;&gt;"W",I35&lt;&gt;"L")),"",IF(I35="W",IF(G35&gt;0,G35/100,1),IF(G35&lt;0,G35/100,-1)))</f>
        <v/>
      </c>
      <c r="I35" s="11" t="inlineStr">
        <is>
          <t>W</t>
        </is>
      </c>
      <c r="J35" s="10" t="inlineStr">
        <is>
          <t>PHI 1, BOS 5</t>
        </is>
      </c>
      <c r="K35" s="10" t="inlineStr">
        <is>
          <t>DraftKings closing</t>
        </is>
      </c>
      <c r="L35" s="11" t="inlineStr"/>
    </row>
    <row r="36">
      <c r="A36" s="9" t="n">
        <v>46305</v>
      </c>
      <c r="B36" s="10" t="inlineStr">
        <is>
          <t>VAN @ NJD</t>
        </is>
      </c>
      <c r="C36" s="13" t="n">
        <v>42.54</v>
      </c>
      <c r="D36" s="13" t="n">
        <v>61.2</v>
      </c>
      <c r="E36" s="13">
        <f>IF(OR(C36="",D36=""),"",ABS(C36-D36))</f>
        <v/>
      </c>
      <c r="F36" s="11" t="inlineStr">
        <is>
          <t>NJD</t>
        </is>
      </c>
      <c r="G36" s="12" t="n">
        <v>-298</v>
      </c>
      <c r="H36" s="14">
        <f>IF(OR(F36="",G36="",AND(I36&lt;&gt;"W",I36&lt;&gt;"L")),"",IF(I36="W",IF(G36&gt;0,G36/100,1),IF(G36&lt;0,G36/100,-1)))</f>
        <v/>
      </c>
      <c r="I36" s="11" t="inlineStr">
        <is>
          <t>W</t>
        </is>
      </c>
      <c r="J36" s="10" t="inlineStr">
        <is>
          <t>VAN 1, NJD 4</t>
        </is>
      </c>
      <c r="K36" s="10" t="inlineStr">
        <is>
          <t>DraftKings closing</t>
        </is>
      </c>
      <c r="L36" s="11" t="inlineStr"/>
    </row>
    <row r="37">
      <c r="A37" s="9" t="n">
        <v>46305</v>
      </c>
      <c r="B37" s="10" t="inlineStr">
        <is>
          <t>EDM @ SJS</t>
        </is>
      </c>
      <c r="C37" s="13" t="n">
        <v>71.22</v>
      </c>
      <c r="D37" s="13" t="n">
        <v>68.81999999999999</v>
      </c>
      <c r="E37" s="13">
        <f>IF(OR(C37="",D37=""),"",ABS(C37-D37))</f>
        <v/>
      </c>
      <c r="F37" s="11" t="inlineStr">
        <is>
          <t>EDM</t>
        </is>
      </c>
      <c r="G37" s="12" t="n">
        <v>-155</v>
      </c>
      <c r="H37" s="14">
        <f>IF(OR(F37="",G37="",AND(I37&lt;&gt;"W",I37&lt;&gt;"L")),"",IF(I37="W",IF(G37&gt;0,G37/100,1),IF(G37&lt;0,G37/100,-1)))</f>
        <v/>
      </c>
      <c r="I37" s="11" t="inlineStr">
        <is>
          <t>W</t>
        </is>
      </c>
      <c r="J37" s="10" t="inlineStr">
        <is>
          <t>EDM 3, SJS 1</t>
        </is>
      </c>
      <c r="K37" s="10" t="inlineStr">
        <is>
          <t>DraftKings closing</t>
        </is>
      </c>
      <c r="L37" s="11" t="inlineStr"/>
    </row>
    <row r="38">
      <c r="A38" s="9" t="n">
        <v>46305</v>
      </c>
      <c r="B38" s="10" t="inlineStr">
        <is>
          <t>MIN @ FLA</t>
        </is>
      </c>
      <c r="C38" s="13" t="n">
        <v>60.54</v>
      </c>
      <c r="D38" s="13" t="n">
        <v>80.40000000000001</v>
      </c>
      <c r="E38" s="13">
        <f>IF(OR(C38="",D38=""),"",ABS(C38-D38))</f>
        <v/>
      </c>
      <c r="F38" s="11" t="inlineStr">
        <is>
          <t>FLA</t>
        </is>
      </c>
      <c r="G38" s="12" t="n">
        <v>-135</v>
      </c>
      <c r="H38" s="14">
        <f>IF(OR(F38="",G38="",AND(I38&lt;&gt;"W",I38&lt;&gt;"L")),"",IF(I38="W",IF(G38&gt;0,G38/100,1),IF(G38&lt;0,G38/100,-1)))</f>
        <v/>
      </c>
      <c r="I38" s="11" t="inlineStr">
        <is>
          <t>L</t>
        </is>
      </c>
      <c r="J38" s="10" t="inlineStr">
        <is>
          <t>MIN 4, FLA 1</t>
        </is>
      </c>
      <c r="K38" s="10" t="inlineStr">
        <is>
          <t>DraftKings closing</t>
        </is>
      </c>
      <c r="L38" s="11" t="inlineStr"/>
    </row>
    <row r="39">
      <c r="A39" s="9" t="n">
        <v>46305</v>
      </c>
      <c r="B39" s="10" t="inlineStr">
        <is>
          <t>UTA @ BUF</t>
        </is>
      </c>
      <c r="C39" s="13" t="n">
        <v>66.75</v>
      </c>
      <c r="D39" s="13" t="n">
        <v>64.69</v>
      </c>
      <c r="E39" s="13">
        <f>IF(OR(C39="",D39=""),"",ABS(C39-D39))</f>
        <v/>
      </c>
      <c r="F39" s="11" t="inlineStr">
        <is>
          <t>UTA</t>
        </is>
      </c>
      <c r="G39" s="12" t="n">
        <v>-112</v>
      </c>
      <c r="H39" s="14">
        <f>IF(OR(F39="",G39="",AND(I39&lt;&gt;"W",I39&lt;&gt;"L")),"",IF(I39="W",IF(G39&gt;0,G39/100,1),IF(G39&lt;0,G39/100,-1)))</f>
        <v/>
      </c>
      <c r="I39" s="11" t="inlineStr">
        <is>
          <t>W</t>
        </is>
      </c>
      <c r="J39" s="10" t="inlineStr">
        <is>
          <t>UTA 4, BUF 1</t>
        </is>
      </c>
      <c r="K39" s="10" t="inlineStr">
        <is>
          <t>DraftKings closing</t>
        </is>
      </c>
      <c r="L39" s="11" t="inlineStr"/>
    </row>
    <row r="40">
      <c r="A40" s="9" t="n">
        <v>46305</v>
      </c>
      <c r="B40" s="10" t="inlineStr">
        <is>
          <t>DET @ MTL</t>
        </is>
      </c>
      <c r="C40" s="13" t="n">
        <v>69.17</v>
      </c>
      <c r="D40" s="13" t="n">
        <v>77.62</v>
      </c>
      <c r="E40" s="13">
        <f>IF(OR(C40="",D40=""),"",ABS(C40-D40))</f>
        <v/>
      </c>
      <c r="F40" s="11" t="inlineStr">
        <is>
          <t>MTL</t>
        </is>
      </c>
      <c r="G40" s="12" t="n">
        <v>-192</v>
      </c>
      <c r="H40" s="14">
        <f>IF(OR(F40="",G40="",AND(I40&lt;&gt;"W",I40&lt;&gt;"L")),"",IF(I40="W",IF(G40&gt;0,G40/100,1),IF(G40&lt;0,G40/100,-1)))</f>
        <v/>
      </c>
      <c r="I40" s="11" t="inlineStr">
        <is>
          <t>W</t>
        </is>
      </c>
      <c r="J40" s="10" t="inlineStr">
        <is>
          <t>DET 0, MTL 1</t>
        </is>
      </c>
      <c r="K40" s="10" t="inlineStr">
        <is>
          <t>DraftKings closing</t>
        </is>
      </c>
      <c r="L40" s="11" t="inlineStr"/>
    </row>
    <row r="41">
      <c r="A41" s="9" t="n">
        <v>46305</v>
      </c>
      <c r="B41" s="10" t="inlineStr">
        <is>
          <t>NSH @ OTT</t>
        </is>
      </c>
      <c r="C41" s="13" t="n">
        <v>62.38</v>
      </c>
      <c r="D41" s="13" t="n">
        <v>67.64</v>
      </c>
      <c r="E41" s="13">
        <f>IF(OR(C41="",D41=""),"",ABS(C41-D41))</f>
        <v/>
      </c>
      <c r="F41" s="11" t="inlineStr">
        <is>
          <t>OTT</t>
        </is>
      </c>
      <c r="G41" s="12" t="n">
        <v>-170</v>
      </c>
      <c r="H41" s="14">
        <f>IF(OR(F41="",G41="",AND(I41&lt;&gt;"W",I41&lt;&gt;"L")),"",IF(I41="W",IF(G41&gt;0,G41/100,1),IF(G41&lt;0,G41/100,-1)))</f>
        <v/>
      </c>
      <c r="I41" s="11" t="inlineStr">
        <is>
          <t>W</t>
        </is>
      </c>
      <c r="J41" s="10" t="inlineStr">
        <is>
          <t>NSH 2, OTT 3</t>
        </is>
      </c>
      <c r="K41" s="10" t="inlineStr">
        <is>
          <t>DraftKings closing</t>
        </is>
      </c>
      <c r="L41" s="11" t="inlineStr"/>
    </row>
    <row r="42">
      <c r="A42" s="9" t="n">
        <v>46305</v>
      </c>
      <c r="B42" s="10" t="inlineStr">
        <is>
          <t>DAL @ PIT</t>
        </is>
      </c>
      <c r="C42" s="13" t="n">
        <v>75.31</v>
      </c>
      <c r="D42" s="13" t="n">
        <v>59.57</v>
      </c>
      <c r="E42" s="13">
        <f>IF(OR(C42="",D42=""),"",ABS(C42-D42))</f>
        <v/>
      </c>
      <c r="F42" s="11" t="inlineStr">
        <is>
          <t>DAL</t>
        </is>
      </c>
      <c r="G42" s="12" t="n">
        <v>-180</v>
      </c>
      <c r="H42" s="14">
        <f>IF(OR(F42="",G42="",AND(I42&lt;&gt;"W",I42&lt;&gt;"L")),"",IF(I42="W",IF(G42&gt;0,G42/100,1),IF(G42&lt;0,G42/100,-1)))</f>
        <v/>
      </c>
      <c r="I42" s="11" t="inlineStr">
        <is>
          <t>L</t>
        </is>
      </c>
      <c r="J42" s="10" t="inlineStr">
        <is>
          <t>DAL 1, PIT 2</t>
        </is>
      </c>
      <c r="K42" s="10" t="inlineStr">
        <is>
          <t>DraftKings closing</t>
        </is>
      </c>
      <c r="L42" s="11" t="inlineStr"/>
    </row>
    <row r="43">
      <c r="A43" s="9" t="n">
        <v>46305</v>
      </c>
      <c r="B43" s="10" t="inlineStr">
        <is>
          <t>CAR @ CHI</t>
        </is>
      </c>
      <c r="C43" s="13" t="n">
        <v>97.45999999999999</v>
      </c>
      <c r="D43" s="13" t="n">
        <v>67.16</v>
      </c>
      <c r="E43" s="13">
        <f>IF(OR(C43="",D43=""),"",ABS(C43-D43))</f>
        <v/>
      </c>
      <c r="F43" s="11" t="inlineStr">
        <is>
          <t>CAR</t>
        </is>
      </c>
      <c r="G43" s="12" t="n">
        <v>-258</v>
      </c>
      <c r="H43" s="14">
        <f>IF(OR(F43="",G43="",AND(I43&lt;&gt;"W",I43&lt;&gt;"L")),"",IF(I43="W",IF(G43&gt;0,G43/100,1),IF(G43&lt;0,G43/100,-1)))</f>
        <v/>
      </c>
      <c r="I43" s="11" t="inlineStr">
        <is>
          <t>W</t>
        </is>
      </c>
      <c r="J43" s="10" t="inlineStr">
        <is>
          <t>CAR 5, CHI 2</t>
        </is>
      </c>
      <c r="K43" s="10" t="inlineStr">
        <is>
          <t>DraftKings closing</t>
        </is>
      </c>
      <c r="L43" s="11" t="inlineStr"/>
    </row>
    <row r="44">
      <c r="A44" s="9" t="n">
        <v>46305</v>
      </c>
      <c r="B44" s="10" t="inlineStr">
        <is>
          <t>CBJ @ STL</t>
        </is>
      </c>
      <c r="C44" s="13" t="n">
        <v>80.43000000000001</v>
      </c>
      <c r="D44" s="13" t="n">
        <v>71.18000000000001</v>
      </c>
      <c r="E44" s="13">
        <f>IF(OR(C44="",D44=""),"",ABS(C44-D44))</f>
        <v/>
      </c>
      <c r="F44" s="11" t="inlineStr">
        <is>
          <t>CBJ</t>
        </is>
      </c>
      <c r="G44" s="12" t="n">
        <v>-105</v>
      </c>
      <c r="H44" s="14">
        <f>IF(OR(F44="",G44="",AND(I44&lt;&gt;"W",I44&lt;&gt;"L")),"",IF(I44="W",IF(G44&gt;0,G44/100,1),IF(G44&lt;0,G44/100,-1)))</f>
        <v/>
      </c>
      <c r="I44" s="11" t="inlineStr">
        <is>
          <t>L</t>
        </is>
      </c>
      <c r="J44" s="10" t="inlineStr">
        <is>
          <t>CBJ 3, STL 5</t>
        </is>
      </c>
      <c r="K44" s="10" t="inlineStr">
        <is>
          <t>DraftKings closing</t>
        </is>
      </c>
      <c r="L44" s="11" t="inlineStr"/>
    </row>
    <row r="45">
      <c r="A45" s="9" t="n">
        <v>46305</v>
      </c>
      <c r="B45" s="10" t="inlineStr">
        <is>
          <t>TOR @ COL</t>
        </is>
      </c>
      <c r="C45" s="13" t="n">
        <v>63.6</v>
      </c>
      <c r="D45" s="13" t="n">
        <v>85.51000000000001</v>
      </c>
      <c r="E45" s="13">
        <f>IF(OR(C45="",D45=""),"",ABS(C45-D45))</f>
        <v/>
      </c>
      <c r="F45" s="11" t="inlineStr">
        <is>
          <t>COL</t>
        </is>
      </c>
      <c r="G45" s="12" t="n">
        <v>-225</v>
      </c>
      <c r="H45" s="14">
        <f>IF(OR(F45="",G45="",AND(I45&lt;&gt;"W",I45&lt;&gt;"L")),"",IF(I45="W",IF(G45&gt;0,G45/100,1),IF(G45&lt;0,G45/100,-1)))</f>
        <v/>
      </c>
      <c r="I45" s="11" t="inlineStr">
        <is>
          <t>L</t>
        </is>
      </c>
      <c r="J45" s="10" t="inlineStr">
        <is>
          <t>TOR 6, COL 3</t>
        </is>
      </c>
      <c r="K45" s="10" t="inlineStr">
        <is>
          <t>DraftKings closing</t>
        </is>
      </c>
      <c r="L45" s="11" t="inlineStr"/>
    </row>
    <row r="46">
      <c r="A46" s="9" t="n">
        <v>46305</v>
      </c>
      <c r="B46" s="10" t="inlineStr">
        <is>
          <t>TBL @ NYI</t>
        </is>
      </c>
      <c r="C46" s="13" t="n">
        <v>79.45999999999999</v>
      </c>
      <c r="D46" s="13" t="n">
        <v>72.84</v>
      </c>
      <c r="E46" s="13">
        <f>IF(OR(C46="",D46=""),"",ABS(C46-D46))</f>
        <v/>
      </c>
      <c r="F46" s="11" t="inlineStr">
        <is>
          <t>TBL</t>
        </is>
      </c>
      <c r="G46" s="12" t="n">
        <v>-180</v>
      </c>
      <c r="H46" s="14">
        <f>IF(OR(F46="",G46="",AND(I46&lt;&gt;"W",I46&lt;&gt;"L")),"",IF(I46="W",IF(G46&gt;0,G46/100,1),IF(G46&lt;0,G46/100,-1)))</f>
        <v/>
      </c>
      <c r="I46" s="11" t="inlineStr">
        <is>
          <t>W</t>
        </is>
      </c>
      <c r="J46" s="10" t="inlineStr">
        <is>
          <t>TBL 5, NYI 3</t>
        </is>
      </c>
      <c r="K46" s="10" t="inlineStr">
        <is>
          <t>DraftKings closing</t>
        </is>
      </c>
      <c r="L46" s="11" t="inlineStr"/>
    </row>
    <row r="47">
      <c r="A47" s="9" t="n">
        <v>46305</v>
      </c>
      <c r="B47" s="10" t="inlineStr">
        <is>
          <t>ANA @ CGY</t>
        </is>
      </c>
      <c r="C47" s="13" t="n">
        <v>78</v>
      </c>
      <c r="D47" s="13" t="n">
        <v>54.49</v>
      </c>
      <c r="E47" s="13">
        <f>IF(OR(C47="",D47=""),"",ABS(C47-D47))</f>
        <v/>
      </c>
      <c r="F47" s="11" t="inlineStr">
        <is>
          <t>ANA</t>
        </is>
      </c>
      <c r="G47" s="12" t="n">
        <v>-122</v>
      </c>
      <c r="H47" s="14">
        <f>IF(OR(F47="",G47="",AND(I47&lt;&gt;"W",I47&lt;&gt;"L")),"",IF(I47="W",IF(G47&gt;0,G47/100,1),IF(G47&lt;0,G47/100,-1)))</f>
        <v/>
      </c>
      <c r="I47" s="11" t="inlineStr">
        <is>
          <t>W</t>
        </is>
      </c>
      <c r="J47" s="10" t="inlineStr">
        <is>
          <t>ANA 4, CGY 2</t>
        </is>
      </c>
      <c r="K47" s="10" t="inlineStr">
        <is>
          <t>DraftKings closing</t>
        </is>
      </c>
      <c r="L47" s="11" t="inlineStr"/>
    </row>
    <row r="48">
      <c r="A48" s="9" t="n">
        <v>46305</v>
      </c>
      <c r="B48" s="10" t="inlineStr">
        <is>
          <t>LAK @ VGK</t>
        </is>
      </c>
      <c r="C48" s="13" t="n">
        <v>59.6</v>
      </c>
      <c r="D48" s="13" t="n">
        <v>76.40000000000001</v>
      </c>
      <c r="E48" s="13">
        <f>IF(OR(C48="",D48=""),"",ABS(C48-D48))</f>
        <v/>
      </c>
      <c r="F48" s="11" t="inlineStr">
        <is>
          <t>VGK</t>
        </is>
      </c>
      <c r="G48" s="12" t="n">
        <v>-170</v>
      </c>
      <c r="H48" s="14">
        <f>IF(OR(F48="",G48="",AND(I48&lt;&gt;"W",I48&lt;&gt;"L")),"",IF(I48="W",IF(G48&gt;0,G48/100,1),IF(G48&lt;0,G48/100,-1)))</f>
        <v/>
      </c>
      <c r="I48" s="11" t="inlineStr">
        <is>
          <t>W</t>
        </is>
      </c>
      <c r="J48" s="10" t="inlineStr">
        <is>
          <t>LAK 1, VGK 2</t>
        </is>
      </c>
      <c r="K48" s="10" t="inlineStr">
        <is>
          <t>DraftKings closing</t>
        </is>
      </c>
      <c r="L48" s="11" t="inlineStr"/>
    </row>
    <row r="49">
      <c r="A49" s="9" t="n">
        <v>46306</v>
      </c>
      <c r="B49" s="10" t="inlineStr">
        <is>
          <t>SEA @ WSH</t>
        </is>
      </c>
      <c r="C49" s="13" t="n">
        <v>70.83</v>
      </c>
      <c r="D49" s="13" t="n">
        <v>74.36</v>
      </c>
      <c r="E49" s="13">
        <f>IF(OR(C49="",D49=""),"",ABS(C49-D49))</f>
        <v/>
      </c>
      <c r="F49" s="11" t="inlineStr">
        <is>
          <t>WSH</t>
        </is>
      </c>
      <c r="G49" s="12" t="n">
        <v>-205</v>
      </c>
      <c r="H49" s="14">
        <f>IF(OR(F49="",G49="",AND(I49&lt;&gt;"W",I49&lt;&gt;"L")),"",IF(I49="W",IF(G49&gt;0,G49/100,1),IF(G49&lt;0,G49/100,-1)))</f>
        <v/>
      </c>
      <c r="I49" s="11" t="inlineStr">
        <is>
          <t>L</t>
        </is>
      </c>
      <c r="J49" s="10" t="inlineStr">
        <is>
          <t>SEA 5, WSH 3</t>
        </is>
      </c>
      <c r="K49" s="10" t="inlineStr">
        <is>
          <t>DraftKings closing</t>
        </is>
      </c>
      <c r="L49" s="11" t="inlineStr"/>
    </row>
    <row r="50">
      <c r="A50" s="9" t="n">
        <v>46306</v>
      </c>
      <c r="B50" s="10" t="inlineStr">
        <is>
          <t>VAN @ NYR</t>
        </is>
      </c>
      <c r="C50" s="13" t="n">
        <v>51.86</v>
      </c>
      <c r="D50" s="13" t="n">
        <v>65.64</v>
      </c>
      <c r="E50" s="13">
        <f>IF(OR(C50="",D50=""),"",ABS(C50-D50))</f>
        <v/>
      </c>
      <c r="F50" s="11" t="inlineStr">
        <is>
          <t>NYR</t>
        </is>
      </c>
      <c r="G50" s="12" t="n">
        <v>-290</v>
      </c>
      <c r="H50" s="14">
        <f>IF(OR(F50="",G50="",AND(I50&lt;&gt;"W",I50&lt;&gt;"L")),"",IF(I50="W",IF(G50&gt;0,G50/100,1),IF(G50&lt;0,G50/100,-1)))</f>
        <v/>
      </c>
      <c r="I50" s="11" t="inlineStr">
        <is>
          <t>W</t>
        </is>
      </c>
      <c r="J50" s="10" t="inlineStr">
        <is>
          <t>VAN 2, NYR 6</t>
        </is>
      </c>
      <c r="K50" s="10" t="inlineStr">
        <is>
          <t>DraftKings closing</t>
        </is>
      </c>
      <c r="L50" s="11" t="inlineStr"/>
    </row>
    <row r="51">
      <c r="A51" s="9" t="n">
        <v>46306</v>
      </c>
      <c r="B51" s="10" t="inlineStr">
        <is>
          <t>CAR @ PHI</t>
        </is>
      </c>
      <c r="C51" s="13" t="n">
        <v>90.55</v>
      </c>
      <c r="D51" s="13" t="n">
        <v>44.22</v>
      </c>
      <c r="E51" s="13">
        <f>IF(OR(C51="",D51=""),"",ABS(C51-D51))</f>
        <v/>
      </c>
      <c r="F51" s="11" t="inlineStr">
        <is>
          <t>CAR</t>
        </is>
      </c>
      <c r="G51" s="12" t="n">
        <v>-230</v>
      </c>
      <c r="H51" s="14">
        <f>IF(OR(F51="",G51="",AND(I51&lt;&gt;"W",I51&lt;&gt;"L")),"",IF(I51="W",IF(G51&gt;0,G51/100,1),IF(G51&lt;0,G51/100,-1)))</f>
        <v/>
      </c>
      <c r="I51" s="11" t="inlineStr">
        <is>
          <t>W</t>
        </is>
      </c>
      <c r="J51" s="10" t="inlineStr">
        <is>
          <t>CAR 4, PHI 1</t>
        </is>
      </c>
      <c r="K51" s="10" t="inlineStr">
        <is>
          <t>DraftKings closing</t>
        </is>
      </c>
      <c r="L51" s="11" t="inlineStr"/>
    </row>
    <row r="52">
      <c r="A52" s="9" t="n">
        <v>46307</v>
      </c>
      <c r="B52" s="10" t="inlineStr">
        <is>
          <t>FLA @ BUF</t>
        </is>
      </c>
      <c r="C52" s="13" t="n">
        <v>60.79</v>
      </c>
      <c r="D52" s="13" t="n">
        <v>53.14</v>
      </c>
      <c r="E52" s="13">
        <f>IF(OR(C52="",D52=""),"",ABS(C52-D52))</f>
        <v/>
      </c>
      <c r="F52" s="11" t="inlineStr">
        <is>
          <t>FLA</t>
        </is>
      </c>
      <c r="G52" s="12" t="n">
        <v>-105</v>
      </c>
      <c r="H52" s="14">
        <f>IF(OR(F52="",G52="",AND(I52&lt;&gt;"W",I52&lt;&gt;"L")),"",IF(I52="W",IF(G52&gt;0,G52/100,1),IF(G52&lt;0,G52/100,-1)))</f>
        <v/>
      </c>
      <c r="I52" s="11" t="inlineStr">
        <is>
          <t>L</t>
        </is>
      </c>
      <c r="J52" s="10" t="inlineStr">
        <is>
          <t>FLA 3, BUF 5</t>
        </is>
      </c>
      <c r="K52" s="10" t="inlineStr">
        <is>
          <t>DraftKings closing</t>
        </is>
      </c>
      <c r="L52" s="11" t="inlineStr"/>
    </row>
    <row r="53">
      <c r="A53" s="9" t="n">
        <v>46307</v>
      </c>
      <c r="B53" s="10" t="inlineStr">
        <is>
          <t>OTT @ NJD</t>
        </is>
      </c>
      <c r="C53" s="13" t="n">
        <v>73.29000000000001</v>
      </c>
      <c r="D53" s="13" t="n">
        <v>88.14</v>
      </c>
      <c r="E53" s="13">
        <f>IF(OR(C53="",D53=""),"",ABS(C53-D53))</f>
        <v/>
      </c>
      <c r="F53" s="11" t="inlineStr">
        <is>
          <t>NJD</t>
        </is>
      </c>
      <c r="G53" s="12" t="n">
        <v>-118</v>
      </c>
      <c r="H53" s="14">
        <f>IF(OR(F53="",G53="",AND(I53&lt;&gt;"W",I53&lt;&gt;"L")),"",IF(I53="W",IF(G53&gt;0,G53/100,1),IF(G53&lt;0,G53/100,-1)))</f>
        <v/>
      </c>
      <c r="I53" s="11" t="inlineStr">
        <is>
          <t>L</t>
        </is>
      </c>
      <c r="J53" s="10" t="inlineStr">
        <is>
          <t>OTT 4, NJD 1</t>
        </is>
      </c>
      <c r="K53" s="10" t="inlineStr">
        <is>
          <t>DraftKings closing</t>
        </is>
      </c>
      <c r="L53" s="11" t="inlineStr"/>
    </row>
    <row r="54">
      <c r="A54" s="9" t="n">
        <v>46307</v>
      </c>
      <c r="B54" s="10" t="inlineStr">
        <is>
          <t>VGK @ MIN</t>
        </is>
      </c>
      <c r="C54" s="13" t="n">
        <v>78.18000000000001</v>
      </c>
      <c r="D54" s="13" t="n">
        <v>79.20999999999999</v>
      </c>
      <c r="E54" s="13">
        <f>IF(OR(C54="",D54=""),"",ABS(C54-D54))</f>
        <v/>
      </c>
      <c r="F54" s="11" t="inlineStr">
        <is>
          <t>MIN</t>
        </is>
      </c>
      <c r="G54" s="12" t="n">
        <v>-112</v>
      </c>
      <c r="H54" s="14">
        <f>IF(OR(F54="",G54="",AND(I54&lt;&gt;"W",I54&lt;&gt;"L")),"",IF(I54="W",IF(G54&gt;0,G54/100,1),IF(G54&lt;0,G54/100,-1)))</f>
        <v/>
      </c>
      <c r="I54" s="11" t="inlineStr">
        <is>
          <t>W</t>
        </is>
      </c>
      <c r="J54" s="10" t="inlineStr">
        <is>
          <t>VGK 2, MIN 4</t>
        </is>
      </c>
      <c r="K54" s="10" t="inlineStr">
        <is>
          <t>DraftKings closing</t>
        </is>
      </c>
      <c r="L54" s="11" t="inlineStr"/>
    </row>
    <row r="55">
      <c r="A55" s="9" t="n">
        <v>46308</v>
      </c>
      <c r="B55" s="10" t="inlineStr">
        <is>
          <t>NJD @ DET</t>
        </is>
      </c>
      <c r="C55" s="13" t="n">
        <v>76.13</v>
      </c>
      <c r="D55" s="13" t="n">
        <v>62.92</v>
      </c>
      <c r="E55" s="13">
        <f>IF(OR(C55="",D55=""),"",ABS(C55-D55))</f>
        <v/>
      </c>
      <c r="F55" s="11" t="inlineStr">
        <is>
          <t>NJD</t>
        </is>
      </c>
      <c r="G55" s="12" t="n">
        <v>-105</v>
      </c>
      <c r="H55" s="14">
        <f>IF(OR(F55="",G55="",AND(I55&lt;&gt;"W",I55&lt;&gt;"L")),"",IF(I55="W",IF(G55&gt;0,G55/100,1),IF(G55&lt;0,G55/100,-1)))</f>
        <v/>
      </c>
      <c r="I55" s="11" t="inlineStr">
        <is>
          <t>W</t>
        </is>
      </c>
      <c r="J55" s="10" t="inlineStr">
        <is>
          <t>NJD 5, DET 4</t>
        </is>
      </c>
      <c r="K55" s="10" t="inlineStr">
        <is>
          <t>DraftKings closing</t>
        </is>
      </c>
      <c r="L55" s="11" t="inlineStr"/>
    </row>
    <row r="56">
      <c r="A56" s="9" t="n">
        <v>46308</v>
      </c>
      <c r="B56" s="10" t="inlineStr">
        <is>
          <t>FLA @ CBJ</t>
        </is>
      </c>
      <c r="C56" s="13" t="n">
        <v>65.41</v>
      </c>
      <c r="D56" s="13" t="n">
        <v>64.62</v>
      </c>
      <c r="E56" s="13">
        <f>IF(OR(C56="",D56=""),"",ABS(C56-D56))</f>
        <v/>
      </c>
      <c r="F56" s="11" t="inlineStr">
        <is>
          <t>FLA</t>
        </is>
      </c>
      <c r="G56" s="12" t="n">
        <v>110</v>
      </c>
      <c r="H56" s="14">
        <f>IF(OR(F56="",G56="",AND(I56&lt;&gt;"W",I56&lt;&gt;"L")),"",IF(I56="W",IF(G56&gt;0,G56/100,1),IF(G56&lt;0,G56/100,-1)))</f>
        <v/>
      </c>
      <c r="I56" s="11" t="inlineStr">
        <is>
          <t>W</t>
        </is>
      </c>
      <c r="J56" s="10" t="inlineStr">
        <is>
          <t>FLA 7, CBJ 3</t>
        </is>
      </c>
      <c r="K56" s="10" t="inlineStr">
        <is>
          <t>DraftKings closing</t>
        </is>
      </c>
      <c r="L56" s="11" t="inlineStr"/>
    </row>
    <row r="57">
      <c r="A57" s="9" t="n">
        <v>46308</v>
      </c>
      <c r="B57" s="10" t="inlineStr">
        <is>
          <t>BUF @ MTL</t>
        </is>
      </c>
      <c r="C57" s="13" t="n">
        <v>74.59</v>
      </c>
      <c r="D57" s="13" t="n">
        <v>77.08</v>
      </c>
      <c r="E57" s="13">
        <f>IF(OR(C57="",D57=""),"",ABS(C57-D57))</f>
        <v/>
      </c>
      <c r="F57" s="11" t="inlineStr">
        <is>
          <t>MTL</t>
        </is>
      </c>
      <c r="G57" s="12" t="n">
        <v>-155</v>
      </c>
      <c r="H57" s="14">
        <f>IF(OR(F57="",G57="",AND(I57&lt;&gt;"W",I57&lt;&gt;"L")),"",IF(I57="W",IF(G57&gt;0,G57/100,1),IF(G57&lt;0,G57/100,-1)))</f>
        <v/>
      </c>
      <c r="I57" s="11" t="inlineStr">
        <is>
          <t>W</t>
        </is>
      </c>
      <c r="J57" s="10" t="inlineStr">
        <is>
          <t>BUF 3, MTL 4</t>
        </is>
      </c>
      <c r="K57" s="10" t="inlineStr">
        <is>
          <t>DraftKings closing</t>
        </is>
      </c>
      <c r="L57" s="11" t="inlineStr"/>
    </row>
    <row r="58">
      <c r="A58" s="9" t="n">
        <v>46308</v>
      </c>
      <c r="B58" s="10" t="inlineStr">
        <is>
          <t>WSH @ CAR</t>
        </is>
      </c>
      <c r="C58" s="13" t="n">
        <v>64.91</v>
      </c>
      <c r="D58" s="13" t="n">
        <v>87.23</v>
      </c>
      <c r="E58" s="13">
        <f>IF(OR(C58="",D58=""),"",ABS(C58-D58))</f>
        <v/>
      </c>
      <c r="F58" s="11" t="inlineStr">
        <is>
          <t>CAR</t>
        </is>
      </c>
      <c r="G58" s="12" t="n">
        <v>-155</v>
      </c>
      <c r="H58" s="14">
        <f>IF(OR(F58="",G58="",AND(I58&lt;&gt;"W",I58&lt;&gt;"L")),"",IF(I58="W",IF(G58&gt;0,G58/100,1),IF(G58&lt;0,G58/100,-1)))</f>
        <v/>
      </c>
      <c r="I58" s="11" t="inlineStr">
        <is>
          <t>W</t>
        </is>
      </c>
      <c r="J58" s="10" t="inlineStr">
        <is>
          <t>WSH 2, CAR 4</t>
        </is>
      </c>
      <c r="K58" s="10" t="inlineStr">
        <is>
          <t>DraftKings closing</t>
        </is>
      </c>
      <c r="L58" s="11" t="inlineStr"/>
    </row>
    <row r="59">
      <c r="A59" s="9" t="n">
        <v>46308</v>
      </c>
      <c r="B59" s="10" t="inlineStr">
        <is>
          <t>SEA @ PHI</t>
        </is>
      </c>
      <c r="C59" s="13" t="n">
        <v>75.09</v>
      </c>
      <c r="D59" s="13" t="n">
        <v>52.77</v>
      </c>
      <c r="E59" s="13">
        <f>IF(OR(C59="",D59=""),"",ABS(C59-D59))</f>
        <v/>
      </c>
      <c r="F59" s="11" t="inlineStr">
        <is>
          <t>SEA</t>
        </is>
      </c>
      <c r="G59" s="12" t="n">
        <v>-108</v>
      </c>
      <c r="H59" s="14">
        <f>IF(OR(F59="",G59="",AND(I59&lt;&gt;"W",I59&lt;&gt;"L")),"",IF(I59="W",IF(G59&gt;0,G59/100,1),IF(G59&lt;0,G59/100,-1)))</f>
        <v/>
      </c>
      <c r="I59" s="11" t="inlineStr">
        <is>
          <t>W</t>
        </is>
      </c>
      <c r="J59" s="10" t="inlineStr">
        <is>
          <t>SEA 3, PHI 2</t>
        </is>
      </c>
      <c r="K59" s="10" t="inlineStr">
        <is>
          <t>DraftKings closing</t>
        </is>
      </c>
      <c r="L59" s="11" t="inlineStr"/>
    </row>
    <row r="60">
      <c r="A60" s="9" t="n">
        <v>46308</v>
      </c>
      <c r="B60" s="10" t="inlineStr">
        <is>
          <t>TBL @ NYR</t>
        </is>
      </c>
      <c r="C60" s="13" t="n">
        <v>73.36</v>
      </c>
      <c r="D60" s="13" t="n">
        <v>84.11</v>
      </c>
      <c r="E60" s="13">
        <f>IF(OR(C60="",D60=""),"",ABS(C60-D60))</f>
        <v/>
      </c>
      <c r="F60" s="11" t="inlineStr">
        <is>
          <t>NYR</t>
        </is>
      </c>
      <c r="G60" s="12" t="n">
        <v>136</v>
      </c>
      <c r="H60" s="14">
        <f>IF(OR(F60="",G60="",AND(I60&lt;&gt;"W",I60&lt;&gt;"L")),"",IF(I60="W",IF(G60&gt;0,G60/100,1),IF(G60&lt;0,G60/100,-1)))</f>
        <v/>
      </c>
      <c r="I60" s="11" t="inlineStr">
        <is>
          <t>W</t>
        </is>
      </c>
      <c r="J60" s="10" t="inlineStr">
        <is>
          <t>TBL 1, NYR 4</t>
        </is>
      </c>
      <c r="K60" s="10" t="inlineStr">
        <is>
          <t>DraftKings closing</t>
        </is>
      </c>
      <c r="L60" s="11" t="inlineStr"/>
    </row>
    <row r="61">
      <c r="A61" s="9" t="n">
        <v>46308</v>
      </c>
      <c r="B61" s="10" t="inlineStr">
        <is>
          <t>STL @ OTT</t>
        </is>
      </c>
      <c r="C61" s="13" t="n">
        <v>75.38</v>
      </c>
      <c r="D61" s="13" t="n">
        <v>63.87</v>
      </c>
      <c r="E61" s="13">
        <f>IF(OR(C61="",D61=""),"",ABS(C61-D61))</f>
        <v/>
      </c>
      <c r="F61" s="11" t="inlineStr">
        <is>
          <t>STL</t>
        </is>
      </c>
      <c r="G61" s="12" t="n">
        <v>-130</v>
      </c>
      <c r="H61" s="14">
        <f>IF(OR(F61="",G61="",AND(I61&lt;&gt;"W",I61&lt;&gt;"L")),"",IF(I61="W",IF(G61&gt;0,G61/100,1),IF(G61&lt;0,G61/100,-1)))</f>
        <v/>
      </c>
      <c r="I61" s="11" t="inlineStr">
        <is>
          <t>W</t>
        </is>
      </c>
      <c r="J61" s="10" t="inlineStr">
        <is>
          <t>STL 7, OTT 2</t>
        </is>
      </c>
      <c r="K61" s="10" t="inlineStr">
        <is>
          <t>DraftKings closing</t>
        </is>
      </c>
      <c r="L61" s="11" t="inlineStr"/>
    </row>
    <row r="62">
      <c r="A62" s="9" t="n">
        <v>46308</v>
      </c>
      <c r="B62" s="10" t="inlineStr">
        <is>
          <t>VAN @ NYI</t>
        </is>
      </c>
      <c r="C62" s="13" t="n">
        <v>55.89</v>
      </c>
      <c r="D62" s="13" t="n">
        <v>66.64</v>
      </c>
      <c r="E62" s="13">
        <f>IF(OR(C62="",D62=""),"",ABS(C62-D62))</f>
        <v/>
      </c>
      <c r="F62" s="11" t="inlineStr">
        <is>
          <t>NYI</t>
        </is>
      </c>
      <c r="G62" s="12" t="n">
        <v>-205</v>
      </c>
      <c r="H62" s="14">
        <f>IF(OR(F62="",G62="",AND(I62&lt;&gt;"W",I62&lt;&gt;"L")),"",IF(I62="W",IF(G62&gt;0,G62/100,1),IF(G62&lt;0,G62/100,-1)))</f>
        <v/>
      </c>
      <c r="I62" s="11" t="inlineStr">
        <is>
          <t>W</t>
        </is>
      </c>
      <c r="J62" s="10" t="inlineStr">
        <is>
          <t>VAN 2, NYI 3</t>
        </is>
      </c>
      <c r="K62" s="10" t="inlineStr">
        <is>
          <t>DraftKings closing</t>
        </is>
      </c>
      <c r="L62" s="11" t="inlineStr"/>
    </row>
    <row r="63">
      <c r="A63" s="9" t="n">
        <v>46308</v>
      </c>
      <c r="B63" s="10" t="inlineStr">
        <is>
          <t>PIT @ CHI</t>
        </is>
      </c>
      <c r="C63" s="13" t="n">
        <v>74.02</v>
      </c>
      <c r="D63" s="13" t="n">
        <v>49.45</v>
      </c>
      <c r="E63" s="13">
        <f>IF(OR(C63="",D63=""),"",ABS(C63-D63))</f>
        <v/>
      </c>
      <c r="F63" s="11" t="inlineStr">
        <is>
          <t>PIT</t>
        </is>
      </c>
      <c r="G63" s="12" t="n">
        <v>-162</v>
      </c>
      <c r="H63" s="14">
        <f>IF(OR(F63="",G63="",AND(I63&lt;&gt;"W",I63&lt;&gt;"L")),"",IF(I63="W",IF(G63&gt;0,G63/100,1),IF(G63&lt;0,G63/100,-1)))</f>
        <v/>
      </c>
      <c r="I63" s="11" t="inlineStr">
        <is>
          <t>L</t>
        </is>
      </c>
      <c r="J63" s="10" t="inlineStr">
        <is>
          <t>PIT 3, CHI 5</t>
        </is>
      </c>
      <c r="K63" s="10" t="inlineStr">
        <is>
          <t>DraftKings closing</t>
        </is>
      </c>
      <c r="L63" s="11" t="inlineStr"/>
    </row>
    <row r="64">
      <c r="A64" s="9" t="n">
        <v>46308</v>
      </c>
      <c r="B64" s="10" t="inlineStr">
        <is>
          <t>MIN @ WPG</t>
        </is>
      </c>
      <c r="C64" s="13" t="n">
        <v>76.73</v>
      </c>
      <c r="D64" s="13" t="n">
        <v>62</v>
      </c>
      <c r="E64" s="13">
        <f>IF(OR(C64="",D64=""),"",ABS(C64-D64))</f>
        <v/>
      </c>
      <c r="F64" s="11" t="inlineStr">
        <is>
          <t>MIN</t>
        </is>
      </c>
      <c r="G64" s="12" t="n">
        <v>-110</v>
      </c>
      <c r="H64" s="14">
        <f>IF(OR(F64="",G64="",AND(I64&lt;&gt;"W",I64&lt;&gt;"L")),"",IF(I64="W",IF(G64&gt;0,G64/100,1),IF(G64&lt;0,G64/100,-1)))</f>
        <v/>
      </c>
      <c r="I64" s="11" t="inlineStr">
        <is>
          <t>L</t>
        </is>
      </c>
      <c r="J64" s="10" t="inlineStr">
        <is>
          <t>MIN 2, WPG 5</t>
        </is>
      </c>
      <c r="K64" s="10" t="inlineStr">
        <is>
          <t>DraftKings closing</t>
        </is>
      </c>
      <c r="L64" s="11" t="inlineStr"/>
    </row>
    <row r="65">
      <c r="A65" s="9" t="n">
        <v>46308</v>
      </c>
      <c r="B65" s="10" t="inlineStr">
        <is>
          <t>COL @ DAL</t>
        </is>
      </c>
      <c r="C65" s="13" t="n">
        <v>72.52</v>
      </c>
      <c r="D65" s="13" t="n">
        <v>65.98</v>
      </c>
      <c r="E65" s="13">
        <f>IF(OR(C65="",D65=""),"",ABS(C65-D65))</f>
        <v/>
      </c>
      <c r="F65" s="11" t="inlineStr">
        <is>
          <t>COL</t>
        </is>
      </c>
      <c r="G65" s="12" t="n">
        <v>-105</v>
      </c>
      <c r="H65" s="14">
        <f>IF(OR(F65="",G65="",AND(I65&lt;&gt;"W",I65&lt;&gt;"L")),"",IF(I65="W",IF(G65&gt;0,G65/100,1),IF(G65&lt;0,G65/100,-1)))</f>
        <v/>
      </c>
      <c r="I65" s="11" t="inlineStr">
        <is>
          <t>W</t>
        </is>
      </c>
      <c r="J65" s="10" t="inlineStr">
        <is>
          <t>COL 3, DAL 2</t>
        </is>
      </c>
      <c r="K65" s="10" t="inlineStr">
        <is>
          <t>DraftKings closing</t>
        </is>
      </c>
      <c r="L65" s="11" t="inlineStr"/>
    </row>
    <row r="66">
      <c r="A66" s="9" t="n">
        <v>46308</v>
      </c>
      <c r="B66" s="10" t="inlineStr">
        <is>
          <t>VGK @ NSH</t>
        </is>
      </c>
      <c r="C66" s="13" t="n">
        <v>63.27</v>
      </c>
      <c r="D66" s="13" t="n">
        <v>66.70999999999999</v>
      </c>
      <c r="E66" s="13">
        <f>IF(OR(C66="",D66=""),"",ABS(C66-D66))</f>
        <v/>
      </c>
      <c r="F66" s="11" t="inlineStr">
        <is>
          <t>NSH</t>
        </is>
      </c>
      <c r="G66" s="12" t="n">
        <v>114</v>
      </c>
      <c r="H66" s="14">
        <f>IF(OR(F66="",G66="",AND(I66&lt;&gt;"W",I66&lt;&gt;"L")),"",IF(I66="W",IF(G66&gt;0,G66/100,1),IF(G66&lt;0,G66/100,-1)))</f>
        <v/>
      </c>
      <c r="I66" s="11" t="inlineStr">
        <is>
          <t>L</t>
        </is>
      </c>
      <c r="J66" s="10" t="inlineStr">
        <is>
          <t>VGK 5, NSH 2</t>
        </is>
      </c>
      <c r="K66" s="10" t="inlineStr">
        <is>
          <t>DraftKings closing</t>
        </is>
      </c>
      <c r="L66" s="11" t="inlineStr"/>
    </row>
    <row r="67">
      <c r="A67" s="9" t="n">
        <v>46308</v>
      </c>
      <c r="B67" s="10" t="inlineStr">
        <is>
          <t>TOR @ UTA</t>
        </is>
      </c>
      <c r="C67" s="13" t="n">
        <v>67.48</v>
      </c>
      <c r="D67" s="13" t="n">
        <v>86.86</v>
      </c>
      <c r="E67" s="13">
        <f>IF(OR(C67="",D67=""),"",ABS(C67-D67))</f>
        <v/>
      </c>
      <c r="F67" s="11" t="inlineStr">
        <is>
          <t>UTA</t>
        </is>
      </c>
      <c r="G67" s="12" t="n">
        <v>-162</v>
      </c>
      <c r="H67" s="14">
        <f>IF(OR(F67="",G67="",AND(I67&lt;&gt;"W",I67&lt;&gt;"L")),"",IF(I67="W",IF(G67&gt;0,G67/100,1),IF(G67&lt;0,G67/100,-1)))</f>
        <v/>
      </c>
      <c r="I67" s="11" t="inlineStr">
        <is>
          <t>W</t>
        </is>
      </c>
      <c r="J67" s="10" t="inlineStr">
        <is>
          <t>TOR 4, UTA 5</t>
        </is>
      </c>
      <c r="K67" s="10" t="inlineStr">
        <is>
          <t>DraftKings closing</t>
        </is>
      </c>
      <c r="L67" s="11" t="inlineStr"/>
    </row>
    <row r="68">
      <c r="A68" s="9" t="n">
        <v>46308</v>
      </c>
      <c r="B68" s="10" t="inlineStr">
        <is>
          <t>CGY @ ANA</t>
        </is>
      </c>
      <c r="C68" s="13" t="n">
        <v>64.7</v>
      </c>
      <c r="D68" s="13" t="n">
        <v>75.3</v>
      </c>
      <c r="E68" s="13">
        <f>IF(OR(C68="",D68=""),"",ABS(C68-D68))</f>
        <v/>
      </c>
      <c r="F68" s="11" t="inlineStr">
        <is>
          <t>ANA</t>
        </is>
      </c>
      <c r="G68" s="12" t="n">
        <v>-175</v>
      </c>
      <c r="H68" s="14">
        <f>IF(OR(F68="",G68="",AND(I68&lt;&gt;"W",I68&lt;&gt;"L")),"",IF(I68="W",IF(G68&gt;0,G68/100,1),IF(G68&lt;0,G68/100,-1)))</f>
        <v/>
      </c>
      <c r="I68" s="11" t="inlineStr">
        <is>
          <t>L</t>
        </is>
      </c>
      <c r="J68" s="10" t="inlineStr">
        <is>
          <t>CGY 4, ANA 2</t>
        </is>
      </c>
      <c r="K68" s="10" t="inlineStr">
        <is>
          <t>DraftKings closing</t>
        </is>
      </c>
      <c r="L68" s="11" t="inlineStr"/>
    </row>
    <row r="69">
      <c r="A69" s="9" t="n">
        <v>46308</v>
      </c>
      <c r="B69" s="10" t="inlineStr">
        <is>
          <t>EDM @ LAK</t>
        </is>
      </c>
      <c r="C69" s="13" t="n">
        <v>80.04000000000001</v>
      </c>
      <c r="D69" s="13" t="n">
        <v>61.82</v>
      </c>
      <c r="E69" s="13">
        <f>IF(OR(C69="",D69=""),"",ABS(C69-D69))</f>
        <v/>
      </c>
      <c r="F69" s="11" t="inlineStr">
        <is>
          <t>EDM</t>
        </is>
      </c>
      <c r="G69" s="12" t="n">
        <v>-125</v>
      </c>
      <c r="H69" s="14">
        <f>IF(OR(F69="",G69="",AND(I69&lt;&gt;"W",I69&lt;&gt;"L")),"",IF(I69="W",IF(G69&gt;0,G69/100,1),IF(G69&lt;0,G69/100,-1)))</f>
        <v/>
      </c>
      <c r="I69" s="11" t="inlineStr">
        <is>
          <t>W</t>
        </is>
      </c>
      <c r="J69" s="10" t="inlineStr">
        <is>
          <t>EDM 4, LAK 1</t>
        </is>
      </c>
      <c r="K69" s="10" t="inlineStr">
        <is>
          <t>DraftKings closing</t>
        </is>
      </c>
      <c r="L69" s="11" t="inlineStr"/>
    </row>
    <row r="70">
      <c r="A70" s="9" t="n">
        <v>46308</v>
      </c>
      <c r="B70" s="10" t="inlineStr">
        <is>
          <t>BOS @ SJS</t>
        </is>
      </c>
      <c r="C70" s="13" t="n">
        <v>95.78</v>
      </c>
      <c r="D70" s="13" t="n">
        <v>59.96</v>
      </c>
      <c r="E70" s="13">
        <f>IF(OR(C70="",D70=""),"",ABS(C70-D70))</f>
        <v/>
      </c>
      <c r="F70" s="11" t="inlineStr">
        <is>
          <t>BOS</t>
        </is>
      </c>
      <c r="G70" s="12" t="n">
        <v>-135</v>
      </c>
      <c r="H70" s="14">
        <f>IF(OR(F70="",G70="",AND(I70&lt;&gt;"W",I70&lt;&gt;"L")),"",IF(I70="W",IF(G70&gt;0,G70/100,1),IF(G70&lt;0,G70/100,-1)))</f>
        <v/>
      </c>
      <c r="I70" s="11" t="inlineStr">
        <is>
          <t>W</t>
        </is>
      </c>
      <c r="J70" s="10" t="inlineStr">
        <is>
          <t>BOS 6, SJS 3</t>
        </is>
      </c>
      <c r="K70" s="10" t="inlineStr">
        <is>
          <t>DraftKings closing</t>
        </is>
      </c>
      <c r="L70" s="11" t="inlineStr"/>
    </row>
    <row r="71">
      <c r="A71" s="9" t="n">
        <v>46309</v>
      </c>
      <c r="B71" s="10" t="inlineStr">
        <is>
          <t>MTL @ WSH</t>
        </is>
      </c>
      <c r="C71" s="13" t="n">
        <v>73.95999999999999</v>
      </c>
      <c r="D71" s="13" t="n">
        <v>61.6</v>
      </c>
      <c r="E71" s="13">
        <f>IF(OR(C71="",D71=""),"",ABS(C71-D71))</f>
        <v/>
      </c>
      <c r="F71" s="11" t="inlineStr">
        <is>
          <t>MTL</t>
        </is>
      </c>
      <c r="G71" s="12" t="n">
        <v>-110</v>
      </c>
      <c r="H71" s="14">
        <f>IF(OR(F71="",G71="",AND(I71&lt;&gt;"W",I71&lt;&gt;"L")),"",IF(I71="W",IF(G71&gt;0,G71/100,1),IF(G71&lt;0,G71/100,-1)))</f>
        <v/>
      </c>
      <c r="I71" s="11" t="inlineStr">
        <is>
          <t>L</t>
        </is>
      </c>
      <c r="J71" s="10" t="inlineStr">
        <is>
          <t>MTL 4, WSH 5</t>
        </is>
      </c>
      <c r="K71" s="10" t="inlineStr">
        <is>
          <t>DraftKings closing</t>
        </is>
      </c>
      <c r="L71" s="11" t="inlineStr"/>
    </row>
    <row r="72">
      <c r="A72" s="9" t="n">
        <v>46309</v>
      </c>
      <c r="B72" s="10" t="inlineStr">
        <is>
          <t>DAL @ COL</t>
        </is>
      </c>
      <c r="C72" s="13" t="n">
        <v>68.73999999999999</v>
      </c>
      <c r="D72" s="13" t="n">
        <v>71.26000000000001</v>
      </c>
      <c r="E72" s="13">
        <f>IF(OR(C72="",D72=""),"",ABS(C72-D72))</f>
        <v/>
      </c>
      <c r="F72" s="11" t="inlineStr">
        <is>
          <t>COL</t>
        </is>
      </c>
      <c r="G72" s="12" t="n">
        <v>-162</v>
      </c>
      <c r="H72" s="14">
        <f>IF(OR(F72="",G72="",AND(I72&lt;&gt;"W",I72&lt;&gt;"L")),"",IF(I72="W",IF(G72&gt;0,G72/100,1),IF(G72&lt;0,G72/100,-1)))</f>
        <v/>
      </c>
      <c r="I72" s="11" t="inlineStr">
        <is>
          <t>L</t>
        </is>
      </c>
      <c r="J72" s="10" t="inlineStr">
        <is>
          <t>DAL 3, COL 2</t>
        </is>
      </c>
      <c r="K72" s="10" t="inlineStr">
        <is>
          <t>DraftKings closing</t>
        </is>
      </c>
      <c r="L72" s="11" t="inlineStr"/>
    </row>
    <row r="73">
      <c r="A73" s="9" t="n">
        <v>46310</v>
      </c>
      <c r="B73" s="10" t="inlineStr">
        <is>
          <t>BUF @ TOR</t>
        </is>
      </c>
      <c r="C73" s="13" t="n">
        <v>66.04000000000001</v>
      </c>
      <c r="D73" s="13" t="n">
        <v>62.22</v>
      </c>
      <c r="E73" s="13">
        <f>IF(OR(C73="",D73=""),"",ABS(C73-D73))</f>
        <v/>
      </c>
      <c r="F73" s="11" t="inlineStr">
        <is>
          <t>BUF</t>
        </is>
      </c>
      <c r="G73" s="12" t="n">
        <v>-105</v>
      </c>
      <c r="H73" s="14">
        <f>IF(OR(F73="",G73="",AND(I73&lt;&gt;"W",I73&lt;&gt;"L")),"",IF(I73="W",IF(G73&gt;0,G73/100,1),IF(G73&lt;0,G73/100,-1)))</f>
        <v/>
      </c>
      <c r="I73" s="11" t="inlineStr">
        <is>
          <t>W</t>
        </is>
      </c>
      <c r="J73" s="10" t="inlineStr">
        <is>
          <t>BUF 5, TOR 4</t>
        </is>
      </c>
      <c r="K73" s="10" t="inlineStr">
        <is>
          <t>DraftKings closing</t>
        </is>
      </c>
      <c r="L73" s="11" t="inlineStr"/>
    </row>
    <row r="74">
      <c r="A74" s="9" t="n">
        <v>46310</v>
      </c>
      <c r="B74" s="10" t="inlineStr">
        <is>
          <t>NYI @ OTT</t>
        </is>
      </c>
      <c r="C74" s="13" t="n">
        <v>76.01000000000001</v>
      </c>
      <c r="D74" s="13" t="n">
        <v>47.65</v>
      </c>
      <c r="E74" s="13">
        <f>IF(OR(C74="",D74=""),"",ABS(C74-D74))</f>
        <v/>
      </c>
      <c r="F74" s="11" t="inlineStr">
        <is>
          <t>NYI</t>
        </is>
      </c>
      <c r="G74" s="12" t="n">
        <v>136</v>
      </c>
      <c r="H74" s="14">
        <f>IF(OR(F74="",G74="",AND(I74&lt;&gt;"W",I74&lt;&gt;"L")),"",IF(I74="W",IF(G74&gt;0,G74/100,1),IF(G74&lt;0,G74/100,-1)))</f>
        <v/>
      </c>
      <c r="I74" s="11" t="inlineStr">
        <is>
          <t>L</t>
        </is>
      </c>
      <c r="J74" s="10" t="inlineStr">
        <is>
          <t>NYI 1, OTT 2</t>
        </is>
      </c>
      <c r="K74" s="10" t="inlineStr">
        <is>
          <t>DraftKings closing</t>
        </is>
      </c>
      <c r="L74" s="11" t="inlineStr"/>
    </row>
    <row r="75">
      <c r="A75" s="9" t="n">
        <v>46310</v>
      </c>
      <c r="B75" s="10" t="inlineStr">
        <is>
          <t>SEA @ TBL</t>
        </is>
      </c>
      <c r="C75" s="13" t="n">
        <v>68.95999999999999</v>
      </c>
      <c r="D75" s="13" t="n">
        <v>67.08</v>
      </c>
      <c r="E75" s="13">
        <f>IF(OR(C75="",D75=""),"",ABS(C75-D75))</f>
        <v/>
      </c>
      <c r="F75" s="11" t="inlineStr">
        <is>
          <t>SEA</t>
        </is>
      </c>
      <c r="G75" s="12" t="n">
        <v>225</v>
      </c>
      <c r="H75" s="14">
        <f>IF(OR(F75="",G75="",AND(I75&lt;&gt;"W",I75&lt;&gt;"L")),"",IF(I75="W",IF(G75&gt;0,G75/100,1),IF(G75&lt;0,G75/100,-1)))</f>
        <v/>
      </c>
      <c r="I75" s="11" t="inlineStr">
        <is>
          <t>L</t>
        </is>
      </c>
      <c r="J75" s="10" t="inlineStr">
        <is>
          <t>SEA 3, TBL 4</t>
        </is>
      </c>
      <c r="K75" s="10" t="inlineStr">
        <is>
          <t>DraftKings closing</t>
        </is>
      </c>
      <c r="L75" s="11" t="inlineStr"/>
    </row>
    <row r="76">
      <c r="A76" s="9" t="n">
        <v>46310</v>
      </c>
      <c r="B76" s="10" t="inlineStr">
        <is>
          <t>VAN @ FLA</t>
        </is>
      </c>
      <c r="C76" s="13" t="n">
        <v>63.99</v>
      </c>
      <c r="D76" s="13" t="n">
        <v>81.29000000000001</v>
      </c>
      <c r="E76" s="13">
        <f>IF(OR(C76="",D76=""),"",ABS(C76-D76))</f>
        <v/>
      </c>
      <c r="F76" s="11" t="inlineStr">
        <is>
          <t>FLA</t>
        </is>
      </c>
      <c r="G76" s="12" t="n">
        <v>-298</v>
      </c>
      <c r="H76" s="14">
        <f>IF(OR(F76="",G76="",AND(I76&lt;&gt;"W",I76&lt;&gt;"L")),"",IF(I76="W",IF(G76&gt;0,G76/100,1),IF(G76&lt;0,G76/100,-1)))</f>
        <v/>
      </c>
      <c r="I76" s="11" t="inlineStr">
        <is>
          <t>W</t>
        </is>
      </c>
      <c r="J76" s="10" t="inlineStr">
        <is>
          <t>VAN 2, FLA 3</t>
        </is>
      </c>
      <c r="K76" s="10" t="inlineStr">
        <is>
          <t>DraftKings closing</t>
        </is>
      </c>
      <c r="L76" s="11" t="inlineStr"/>
    </row>
    <row r="77">
      <c r="A77" s="9" t="n">
        <v>46310</v>
      </c>
      <c r="B77" s="10" t="inlineStr">
        <is>
          <t>NYR @ NJD</t>
        </is>
      </c>
      <c r="C77" s="13" t="n">
        <v>72.92</v>
      </c>
      <c r="D77" s="13" t="n">
        <v>83.64</v>
      </c>
      <c r="E77" s="13">
        <f>IF(OR(C77="",D77=""),"",ABS(C77-D77))</f>
        <v/>
      </c>
      <c r="F77" s="11" t="inlineStr">
        <is>
          <t>NJD</t>
        </is>
      </c>
      <c r="G77" s="12" t="n">
        <v>-130</v>
      </c>
      <c r="H77" s="14">
        <f>IF(OR(F77="",G77="",AND(I77&lt;&gt;"W",I77&lt;&gt;"L")),"",IF(I77="W",IF(G77&gt;0,G77/100,1),IF(G77&lt;0,G77/100,-1)))</f>
        <v/>
      </c>
      <c r="I77" s="11" t="inlineStr">
        <is>
          <t>W</t>
        </is>
      </c>
      <c r="J77" s="10" t="inlineStr">
        <is>
          <t>NYR 1, NJD 7</t>
        </is>
      </c>
      <c r="K77" s="10" t="inlineStr">
        <is>
          <t>DraftKings closing</t>
        </is>
      </c>
      <c r="L77" s="11" t="inlineStr"/>
    </row>
    <row r="78">
      <c r="A78" s="9" t="n">
        <v>46310</v>
      </c>
      <c r="B78" s="10" t="inlineStr">
        <is>
          <t>PHI @ DET</t>
        </is>
      </c>
      <c r="C78" s="13" t="n">
        <v>71.04000000000001</v>
      </c>
      <c r="D78" s="13" t="n">
        <v>56.36</v>
      </c>
      <c r="E78" s="13">
        <f>IF(OR(C78="",D78=""),"",ABS(C78-D78))</f>
        <v/>
      </c>
      <c r="F78" s="11" t="inlineStr">
        <is>
          <t>PHI</t>
        </is>
      </c>
      <c r="G78" s="12" t="n">
        <v>124</v>
      </c>
      <c r="H78" s="14">
        <f>IF(OR(F78="",G78="",AND(I78&lt;&gt;"W",I78&lt;&gt;"L")),"",IF(I78="W",IF(G78&gt;0,G78/100,1),IF(G78&lt;0,G78/100,-1)))</f>
        <v/>
      </c>
      <c r="I78" s="11" t="inlineStr">
        <is>
          <t>L</t>
        </is>
      </c>
      <c r="J78" s="10" t="inlineStr">
        <is>
          <t>PHI 1, DET 2</t>
        </is>
      </c>
      <c r="K78" s="10" t="inlineStr">
        <is>
          <t>DraftKings closing</t>
        </is>
      </c>
      <c r="L78" s="11" t="inlineStr"/>
    </row>
    <row r="79">
      <c r="A79" s="9" t="n">
        <v>46310</v>
      </c>
      <c r="B79" s="10" t="inlineStr">
        <is>
          <t>WPG @ CHI</t>
        </is>
      </c>
      <c r="C79" s="13" t="n">
        <v>80.01000000000001</v>
      </c>
      <c r="D79" s="13" t="n">
        <v>64.5</v>
      </c>
      <c r="E79" s="13">
        <f>IF(OR(C79="",D79=""),"",ABS(C79-D79))</f>
        <v/>
      </c>
      <c r="F79" s="11" t="inlineStr">
        <is>
          <t>WPG</t>
        </is>
      </c>
      <c r="G79" s="12" t="n">
        <v>-125</v>
      </c>
      <c r="H79" s="14">
        <f>IF(OR(F79="",G79="",AND(I79&lt;&gt;"W",I79&lt;&gt;"L")),"",IF(I79="W",IF(G79&gt;0,G79/100,1),IF(G79&lt;0,G79/100,-1)))</f>
        <v/>
      </c>
      <c r="I79" s="11" t="inlineStr">
        <is>
          <t>L</t>
        </is>
      </c>
      <c r="J79" s="10" t="inlineStr">
        <is>
          <t>WPG 3, CHI 4</t>
        </is>
      </c>
      <c r="K79" s="10" t="inlineStr">
        <is>
          <t>DraftKings closing</t>
        </is>
      </c>
      <c r="L79" s="11" t="inlineStr"/>
    </row>
    <row r="80">
      <c r="A80" s="9" t="n">
        <v>46310</v>
      </c>
      <c r="B80" s="10" t="inlineStr">
        <is>
          <t>SJS @ NSH</t>
        </is>
      </c>
      <c r="C80" s="13" t="n">
        <v>66.97</v>
      </c>
      <c r="D80" s="13" t="n">
        <v>61.65</v>
      </c>
      <c r="E80" s="13">
        <f>IF(OR(C80="",D80=""),"",ABS(C80-D80))</f>
        <v/>
      </c>
      <c r="F80" s="11" t="inlineStr">
        <is>
          <t>SJS</t>
        </is>
      </c>
      <c r="G80" s="12" t="n">
        <v>110</v>
      </c>
      <c r="H80" s="14">
        <f>IF(OR(F80="",G80="",AND(I80&lt;&gt;"W",I80&lt;&gt;"L")),"",IF(I80="W",IF(G80&gt;0,G80/100,1),IF(G80&lt;0,G80/100,-1)))</f>
        <v/>
      </c>
      <c r="I80" s="11" t="inlineStr">
        <is>
          <t>W</t>
        </is>
      </c>
      <c r="J80" s="10" t="inlineStr">
        <is>
          <t>SJS 3, NSH 2</t>
        </is>
      </c>
      <c r="K80" s="10" t="inlineStr">
        <is>
          <t>DraftKings closing</t>
        </is>
      </c>
      <c r="L80" s="11" t="inlineStr"/>
    </row>
    <row r="81">
      <c r="A81" s="9" t="n">
        <v>46310</v>
      </c>
      <c r="B81" s="10" t="inlineStr">
        <is>
          <t>STL @ MIN</t>
        </is>
      </c>
      <c r="C81" s="13" t="n">
        <v>92.34999999999999</v>
      </c>
      <c r="D81" s="13" t="n">
        <v>59.99</v>
      </c>
      <c r="E81" s="13">
        <f>IF(OR(C81="",D81=""),"",ABS(C81-D81))</f>
        <v/>
      </c>
      <c r="F81" s="11" t="inlineStr">
        <is>
          <t>STL</t>
        </is>
      </c>
      <c r="G81" s="12" t="n">
        <v>120</v>
      </c>
      <c r="H81" s="14">
        <f>IF(OR(F81="",G81="",AND(I81&lt;&gt;"W",I81&lt;&gt;"L")),"",IF(I81="W",IF(G81&gt;0,G81/100,1),IF(G81&lt;0,G81/100,-1)))</f>
        <v/>
      </c>
      <c r="I81" s="11" t="inlineStr">
        <is>
          <t>L</t>
        </is>
      </c>
      <c r="J81" s="10" t="inlineStr">
        <is>
          <t>STL 4, MIN 5</t>
        </is>
      </c>
      <c r="K81" s="10" t="inlineStr">
        <is>
          <t>DraftKings closing</t>
        </is>
      </c>
      <c r="L81" s="11" t="inlineStr"/>
    </row>
    <row r="82">
      <c r="A82" s="9" t="n">
        <v>46310</v>
      </c>
      <c r="B82" s="10" t="inlineStr">
        <is>
          <t>UTA @ EDM</t>
        </is>
      </c>
      <c r="C82" s="13" t="n">
        <v>77.78</v>
      </c>
      <c r="D82" s="13" t="n">
        <v>65.34999999999999</v>
      </c>
      <c r="E82" s="13">
        <f>IF(OR(C82="",D82=""),"",ABS(C82-D82))</f>
        <v/>
      </c>
      <c r="F82" s="11" t="inlineStr">
        <is>
          <t>UTA</t>
        </is>
      </c>
      <c r="G82" s="12" t="n">
        <v>-115</v>
      </c>
      <c r="H82" s="14">
        <f>IF(OR(F82="",G82="",AND(I82&lt;&gt;"W",I82&lt;&gt;"L")),"",IF(I82="W",IF(G82&gt;0,G82/100,1),IF(G82&lt;0,G82/100,-1)))</f>
        <v/>
      </c>
      <c r="I82" s="11" t="inlineStr">
        <is>
          <t>W</t>
        </is>
      </c>
      <c r="J82" s="10" t="inlineStr">
        <is>
          <t>UTA 4, EDM 2</t>
        </is>
      </c>
      <c r="K82" s="10" t="inlineStr">
        <is>
          <t>DraftKings closing</t>
        </is>
      </c>
      <c r="L82" s="11" t="inlineStr"/>
    </row>
    <row r="83">
      <c r="A83" s="9" t="n">
        <v>46310</v>
      </c>
      <c r="B83" s="10" t="inlineStr">
        <is>
          <t>CGY @ VGK</t>
        </is>
      </c>
      <c r="C83" s="13" t="n">
        <v>75.81999999999999</v>
      </c>
      <c r="D83" s="13" t="n">
        <v>78.34999999999999</v>
      </c>
      <c r="E83" s="13">
        <f>IF(OR(C83="",D83=""),"",ABS(C83-D83))</f>
        <v/>
      </c>
      <c r="F83" s="11" t="inlineStr">
        <is>
          <t>VGK</t>
        </is>
      </c>
      <c r="G83" s="12" t="n">
        <v>-285</v>
      </c>
      <c r="H83" s="14">
        <f>IF(OR(F83="",G83="",AND(I83&lt;&gt;"W",I83&lt;&gt;"L")),"",IF(I83="W",IF(G83&gt;0,G83/100,1),IF(G83&lt;0,G83/100,-1)))</f>
        <v/>
      </c>
      <c r="I83" s="11" t="inlineStr">
        <is>
          <t>W</t>
        </is>
      </c>
      <c r="J83" s="10" t="inlineStr">
        <is>
          <t>CGY 2, VGK 6</t>
        </is>
      </c>
      <c r="K83" s="10" t="inlineStr">
        <is>
          <t>DraftKings closing</t>
        </is>
      </c>
      <c r="L83" s="11" t="inlineStr"/>
    </row>
    <row r="84">
      <c r="A84" s="9" t="n">
        <v>46311</v>
      </c>
      <c r="B84" s="10" t="inlineStr">
        <is>
          <t>PIT @ COL</t>
        </is>
      </c>
      <c r="C84" s="13" t="n">
        <v>75.5</v>
      </c>
      <c r="D84" s="13" t="n">
        <v>74.73</v>
      </c>
      <c r="E84" s="13">
        <f>IF(OR(C84="",D84=""),"",ABS(C84-D84))</f>
        <v/>
      </c>
      <c r="F84" s="11" t="inlineStr">
        <is>
          <t>PIT</t>
        </is>
      </c>
      <c r="G84" s="12" t="n">
        <v>170</v>
      </c>
      <c r="H84" s="14">
        <f>IF(OR(F84="",G84="",AND(I84&lt;&gt;"W",I84&lt;&gt;"L")),"",IF(I84="W",IF(G84&gt;0,G84/100,1),IF(G84&lt;0,G84/100,-1)))</f>
        <v/>
      </c>
      <c r="I84" s="11" t="inlineStr">
        <is>
          <t>L</t>
        </is>
      </c>
      <c r="J84" s="10" t="inlineStr">
        <is>
          <t>PIT 2, COL 5</t>
        </is>
      </c>
      <c r="K84" s="10" t="inlineStr">
        <is>
          <t>DraftKings closing</t>
        </is>
      </c>
      <c r="L84" s="11" t="inlineStr"/>
    </row>
    <row r="85">
      <c r="A85" s="9" t="n">
        <v>46311</v>
      </c>
      <c r="B85" s="10" t="inlineStr">
        <is>
          <t>BOS @ ANA</t>
        </is>
      </c>
      <c r="C85" s="13" t="n">
        <v>73.03</v>
      </c>
      <c r="D85" s="13" t="n">
        <v>64.18000000000001</v>
      </c>
      <c r="E85" s="13">
        <f>IF(OR(C85="",D85=""),"",ABS(C85-D85))</f>
        <v/>
      </c>
      <c r="F85" s="11" t="inlineStr">
        <is>
          <t>BOS</t>
        </is>
      </c>
      <c r="G85" s="12" t="n">
        <v>-112</v>
      </c>
      <c r="H85" s="14">
        <f>IF(OR(F85="",G85="",AND(I85&lt;&gt;"W",I85&lt;&gt;"L")),"",IF(I85="W",IF(G85&gt;0,G85/100,1),IF(G85&lt;0,G85/100,-1)))</f>
        <v/>
      </c>
      <c r="I85" s="11" t="inlineStr">
        <is>
          <t>W</t>
        </is>
      </c>
      <c r="J85" s="10" t="inlineStr">
        <is>
          <t>BOS 4, ANA 2</t>
        </is>
      </c>
      <c r="K85" s="10" t="inlineStr">
        <is>
          <t>DraftKings closing</t>
        </is>
      </c>
      <c r="L85" s="11" t="inlineStr"/>
    </row>
    <row r="86">
      <c r="A86" s="9" t="n">
        <v>46312</v>
      </c>
      <c r="B86" s="10" t="inlineStr">
        <is>
          <t>NJD @ WSH</t>
        </is>
      </c>
      <c r="C86" s="13" t="n">
        <v>98.94</v>
      </c>
      <c r="D86" s="13" t="n">
        <v>65.61</v>
      </c>
      <c r="E86" s="13">
        <f>IF(OR(C86="",D86=""),"",ABS(C86-D86))</f>
        <v/>
      </c>
      <c r="F86" s="11" t="inlineStr">
        <is>
          <t>NJD</t>
        </is>
      </c>
      <c r="G86" s="12" t="n">
        <v>-102</v>
      </c>
      <c r="H86" s="14">
        <f>IF(OR(F86="",G86="",AND(I86&lt;&gt;"W",I86&lt;&gt;"L")),"",IF(I86="W",IF(G86&gt;0,G86/100,1),IF(G86&lt;0,G86/100,-1)))</f>
        <v/>
      </c>
      <c r="I86" s="11" t="inlineStr">
        <is>
          <t>L</t>
        </is>
      </c>
      <c r="J86" s="10" t="inlineStr">
        <is>
          <t>NJD 2, WSH 4</t>
        </is>
      </c>
      <c r="K86" s="10" t="inlineStr">
        <is>
          <t>DraftKings closing</t>
        </is>
      </c>
      <c r="L86" s="11" t="inlineStr"/>
    </row>
    <row r="87">
      <c r="A87" s="9" t="n">
        <v>46312</v>
      </c>
      <c r="B87" s="10" t="inlineStr">
        <is>
          <t>CAR @ WPG</t>
        </is>
      </c>
      <c r="C87" s="13" t="n">
        <v>78.40000000000001</v>
      </c>
      <c r="D87" s="13" t="n">
        <v>73.70999999999999</v>
      </c>
      <c r="E87" s="13">
        <f>IF(OR(C87="",D87=""),"",ABS(C87-D87))</f>
        <v/>
      </c>
      <c r="F87" s="11" t="inlineStr">
        <is>
          <t>CAR</t>
        </is>
      </c>
      <c r="G87" s="12" t="n">
        <v>-205</v>
      </c>
      <c r="H87" s="14">
        <f>IF(OR(F87="",G87="",AND(I87&lt;&gt;"W",I87&lt;&gt;"L")),"",IF(I87="W",IF(G87&gt;0,G87/100,1),IF(G87&lt;0,G87/100,-1)))</f>
        <v/>
      </c>
      <c r="I87" s="11" t="inlineStr">
        <is>
          <t>W</t>
        </is>
      </c>
      <c r="J87" s="10" t="inlineStr">
        <is>
          <t>CAR 3, WPG 2</t>
        </is>
      </c>
      <c r="K87" s="10" t="inlineStr">
        <is>
          <t>DraftKings closing</t>
        </is>
      </c>
      <c r="L87" s="11" t="inlineStr"/>
    </row>
    <row r="88">
      <c r="A88" s="9" t="n">
        <v>46312</v>
      </c>
      <c r="B88" s="10" t="inlineStr">
        <is>
          <t>VAN @ TBL</t>
        </is>
      </c>
      <c r="C88" s="13" t="n">
        <v>57.2</v>
      </c>
      <c r="D88" s="13" t="n">
        <v>75.09</v>
      </c>
      <c r="E88" s="13">
        <f>IF(OR(C88="",D88=""),"",ABS(C88-D88))</f>
        <v/>
      </c>
      <c r="F88" s="11" t="inlineStr">
        <is>
          <t>TBL</t>
        </is>
      </c>
      <c r="G88" s="12" t="n">
        <v>-395</v>
      </c>
      <c r="H88" s="14">
        <f>IF(OR(F88="",G88="",AND(I88&lt;&gt;"W",I88&lt;&gt;"L")),"",IF(I88="W",IF(G88&gt;0,G88/100,1),IF(G88&lt;0,G88/100,-1)))</f>
        <v/>
      </c>
      <c r="I88" s="11" t="inlineStr">
        <is>
          <t>W</t>
        </is>
      </c>
      <c r="J88" s="10" t="inlineStr">
        <is>
          <t>VAN 2, TBL 4</t>
        </is>
      </c>
      <c r="K88" s="10" t="inlineStr">
        <is>
          <t>DraftKings closing</t>
        </is>
      </c>
      <c r="L88" s="11" t="inlineStr"/>
    </row>
    <row r="89">
      <c r="A89" s="9" t="n">
        <v>46312</v>
      </c>
      <c r="B89" s="10" t="inlineStr">
        <is>
          <t>SEA @ FLA</t>
        </is>
      </c>
      <c r="C89" s="13" t="n">
        <v>64.91</v>
      </c>
      <c r="D89" s="13" t="n">
        <v>82.8</v>
      </c>
      <c r="E89" s="13">
        <f>IF(OR(C89="",D89=""),"",ABS(C89-D89))</f>
        <v/>
      </c>
      <c r="F89" s="11" t="inlineStr">
        <is>
          <t>FLA</t>
        </is>
      </c>
      <c r="G89" s="12" t="n">
        <v>-185</v>
      </c>
      <c r="H89" s="14">
        <f>IF(OR(F89="",G89="",AND(I89&lt;&gt;"W",I89&lt;&gt;"L")),"",IF(I89="W",IF(G89&gt;0,G89/100,1),IF(G89&lt;0,G89/100,-1)))</f>
        <v/>
      </c>
      <c r="I89" s="11" t="inlineStr">
        <is>
          <t>W</t>
        </is>
      </c>
      <c r="J89" s="10" t="inlineStr">
        <is>
          <t>SEA 3, FLA 8</t>
        </is>
      </c>
      <c r="K89" s="10" t="inlineStr">
        <is>
          <t>DraftKings closing</t>
        </is>
      </c>
      <c r="L89" s="11" t="inlineStr"/>
    </row>
    <row r="90">
      <c r="A90" s="9" t="n">
        <v>46312</v>
      </c>
      <c r="B90" s="10" t="inlineStr">
        <is>
          <t>NYI @ TOR</t>
        </is>
      </c>
      <c r="C90" s="13" t="n">
        <v>73.08</v>
      </c>
      <c r="D90" s="13" t="n">
        <v>64.83</v>
      </c>
      <c r="E90" s="13">
        <f>IF(OR(C90="",D90=""),"",ABS(C90-D90))</f>
        <v/>
      </c>
      <c r="F90" s="11" t="inlineStr">
        <is>
          <t>NYI</t>
        </is>
      </c>
      <c r="G90" s="12" t="n">
        <v>110</v>
      </c>
      <c r="H90" s="14">
        <f>IF(OR(F90="",G90="",AND(I90&lt;&gt;"W",I90&lt;&gt;"L")),"",IF(I90="W",IF(G90&gt;0,G90/100,1),IF(G90&lt;0,G90/100,-1)))</f>
        <v/>
      </c>
      <c r="I90" s="11" t="inlineStr">
        <is>
          <t>W</t>
        </is>
      </c>
      <c r="J90" s="10" t="inlineStr">
        <is>
          <t>NYI 4, TOR 1</t>
        </is>
      </c>
      <c r="K90" s="10" t="inlineStr">
        <is>
          <t>DraftKings closing</t>
        </is>
      </c>
      <c r="L90" s="11" t="inlineStr"/>
    </row>
    <row r="91">
      <c r="A91" s="9" t="n">
        <v>46312</v>
      </c>
      <c r="B91" s="10" t="inlineStr">
        <is>
          <t>BUF @ MTL</t>
        </is>
      </c>
      <c r="C91" s="13" t="n">
        <v>75.17</v>
      </c>
      <c r="D91" s="13" t="n">
        <v>74.39</v>
      </c>
      <c r="E91" s="13">
        <f>IF(OR(C91="",D91=""),"",ABS(C91-D91))</f>
        <v/>
      </c>
      <c r="F91" s="11" t="inlineStr">
        <is>
          <t>BUF</t>
        </is>
      </c>
      <c r="G91" s="12" t="n">
        <v>120</v>
      </c>
      <c r="H91" s="14">
        <f>IF(OR(F91="",G91="",AND(I91&lt;&gt;"W",I91&lt;&gt;"L")),"",IF(I91="W",IF(G91&gt;0,G91/100,1),IF(G91&lt;0,G91/100,-1)))</f>
        <v/>
      </c>
      <c r="I91" s="11" t="inlineStr">
        <is>
          <t>L</t>
        </is>
      </c>
      <c r="J91" s="10" t="inlineStr">
        <is>
          <t>BUF 3, MTL 4</t>
        </is>
      </c>
      <c r="K91" s="10" t="inlineStr">
        <is>
          <t>DraftKings closing</t>
        </is>
      </c>
      <c r="L91" s="11" t="inlineStr"/>
    </row>
    <row r="92">
      <c r="A92" s="9" t="n">
        <v>46312</v>
      </c>
      <c r="B92" s="10" t="inlineStr">
        <is>
          <t>SJS @ DET</t>
        </is>
      </c>
      <c r="C92" s="13" t="n">
        <v>72.25</v>
      </c>
      <c r="D92" s="13" t="n">
        <v>77.90000000000001</v>
      </c>
      <c r="E92" s="13">
        <f>IF(OR(C92="",D92=""),"",ABS(C92-D92))</f>
        <v/>
      </c>
      <c r="F92" s="11" t="inlineStr">
        <is>
          <t>DET</t>
        </is>
      </c>
      <c r="G92" s="12" t="n">
        <v>-148</v>
      </c>
      <c r="H92" s="14">
        <f>IF(OR(F92="",G92="",AND(I92&lt;&gt;"W",I92&lt;&gt;"L")),"",IF(I92="W",IF(G92&gt;0,G92/100,1),IF(G92&lt;0,G92/100,-1)))</f>
        <v/>
      </c>
      <c r="I92" s="11" t="inlineStr">
        <is>
          <t>W</t>
        </is>
      </c>
      <c r="J92" s="10" t="inlineStr">
        <is>
          <t>SJS 3, DET 4</t>
        </is>
      </c>
      <c r="K92" s="10" t="inlineStr">
        <is>
          <t>DraftKings closing</t>
        </is>
      </c>
      <c r="L92" s="11" t="inlineStr"/>
    </row>
    <row r="93">
      <c r="A93" s="9" t="n">
        <v>46312</v>
      </c>
      <c r="B93" s="10" t="inlineStr">
        <is>
          <t>OTT @ PHI</t>
        </is>
      </c>
      <c r="C93" s="13" t="n">
        <v>66.92</v>
      </c>
      <c r="D93" s="13" t="n">
        <v>62.1</v>
      </c>
      <c r="E93" s="13">
        <f>IF(OR(C93="",D93=""),"",ABS(C93-D93))</f>
        <v/>
      </c>
      <c r="F93" s="11" t="inlineStr">
        <is>
          <t>OTT</t>
        </is>
      </c>
      <c r="G93" s="12" t="n">
        <v>-166</v>
      </c>
      <c r="H93" s="14">
        <f>IF(OR(F93="",G93="",AND(I93&lt;&gt;"W",I93&lt;&gt;"L")),"",IF(I93="W",IF(G93&gt;0,G93/100,1),IF(G93&lt;0,G93/100,-1)))</f>
        <v/>
      </c>
      <c r="I93" s="11" t="inlineStr">
        <is>
          <t>L</t>
        </is>
      </c>
      <c r="J93" s="10" t="inlineStr">
        <is>
          <t>OTT 1, PHI 3</t>
        </is>
      </c>
      <c r="K93" s="10" t="inlineStr">
        <is>
          <t>DraftKings closing</t>
        </is>
      </c>
      <c r="L93" s="11" t="inlineStr"/>
    </row>
    <row r="94">
      <c r="A94" s="9" t="n">
        <v>46312</v>
      </c>
      <c r="B94" s="10" t="inlineStr">
        <is>
          <t>NYR @ CBJ</t>
        </is>
      </c>
      <c r="C94" s="13" t="n">
        <v>41.06</v>
      </c>
      <c r="D94" s="13" t="n">
        <v>58.71</v>
      </c>
      <c r="E94" s="13">
        <f>IF(OR(C94="",D94=""),"",ABS(C94-D94))</f>
        <v/>
      </c>
      <c r="F94" s="11" t="inlineStr">
        <is>
          <t>CBJ</t>
        </is>
      </c>
      <c r="G94" s="12" t="n">
        <v>-135</v>
      </c>
      <c r="H94" s="14">
        <f>IF(OR(F94="",G94="",AND(I94&lt;&gt;"W",I94&lt;&gt;"L")),"",IF(I94="W",IF(G94&gt;0,G94/100,1),IF(G94&lt;0,G94/100,-1)))</f>
        <v/>
      </c>
      <c r="I94" s="11" t="inlineStr">
        <is>
          <t>W</t>
        </is>
      </c>
      <c r="J94" s="10" t="inlineStr">
        <is>
          <t>NYR 0, CBJ 1</t>
        </is>
      </c>
      <c r="K94" s="10" t="inlineStr">
        <is>
          <t>DraftKings closing</t>
        </is>
      </c>
      <c r="L94" s="11" t="inlineStr"/>
    </row>
    <row r="95">
      <c r="A95" s="9" t="n">
        <v>46312</v>
      </c>
      <c r="B95" s="10" t="inlineStr">
        <is>
          <t>DAL @ CHI</t>
        </is>
      </c>
      <c r="C95" s="13" t="n">
        <v>65.27</v>
      </c>
      <c r="D95" s="13" t="n">
        <v>66.29000000000001</v>
      </c>
      <c r="E95" s="13">
        <f>IF(OR(C95="",D95=""),"",ABS(C95-D95))</f>
        <v/>
      </c>
      <c r="F95" s="11" t="inlineStr">
        <is>
          <t>CHI</t>
        </is>
      </c>
      <c r="G95" s="12" t="n">
        <v>180</v>
      </c>
      <c r="H95" s="14">
        <f>IF(OR(F95="",G95="",AND(I95&lt;&gt;"W",I95&lt;&gt;"L")),"",IF(I95="W",IF(G95&gt;0,G95/100,1),IF(G95&lt;0,G95/100,-1)))</f>
        <v/>
      </c>
      <c r="I95" s="11" t="inlineStr">
        <is>
          <t>L</t>
        </is>
      </c>
      <c r="J95" s="10" t="inlineStr">
        <is>
          <t>DAL 4, CHI 0</t>
        </is>
      </c>
      <c r="K95" s="10" t="inlineStr">
        <is>
          <t>DraftKings closing</t>
        </is>
      </c>
      <c r="L95" s="11" t="inlineStr"/>
    </row>
    <row r="96">
      <c r="A96" s="9" t="n">
        <v>46312</v>
      </c>
      <c r="B96" s="10" t="inlineStr">
        <is>
          <t>STL @ NSH</t>
        </is>
      </c>
      <c r="C96" s="13" t="n">
        <v>60.35</v>
      </c>
      <c r="D96" s="13" t="n">
        <v>67.75</v>
      </c>
      <c r="E96" s="13">
        <f>IF(OR(C96="",D96=""),"",ABS(C96-D96))</f>
        <v/>
      </c>
      <c r="F96" s="11" t="inlineStr">
        <is>
          <t>NSH</t>
        </is>
      </c>
      <c r="G96" s="12" t="n">
        <v>-105</v>
      </c>
      <c r="H96" s="14">
        <f>IF(OR(F96="",G96="",AND(I96&lt;&gt;"W",I96&lt;&gt;"L")),"",IF(I96="W",IF(G96&gt;0,G96/100,1),IF(G96&lt;0,G96/100,-1)))</f>
        <v/>
      </c>
      <c r="I96" s="11" t="inlineStr">
        <is>
          <t>W</t>
        </is>
      </c>
      <c r="J96" s="10" t="inlineStr">
        <is>
          <t>STL 2, NSH 5</t>
        </is>
      </c>
      <c r="K96" s="10" t="inlineStr">
        <is>
          <t>DraftKings closing</t>
        </is>
      </c>
      <c r="L96" s="11" t="inlineStr"/>
    </row>
    <row r="97">
      <c r="A97" s="9" t="n">
        <v>46312</v>
      </c>
      <c r="B97" s="10" t="inlineStr">
        <is>
          <t>BOS @ LAK</t>
        </is>
      </c>
      <c r="C97" s="13" t="n">
        <v>70.88</v>
      </c>
      <c r="D97" s="13" t="n">
        <v>74.65000000000001</v>
      </c>
      <c r="E97" s="13">
        <f>IF(OR(C97="",D97=""),"",ABS(C97-D97))</f>
        <v/>
      </c>
      <c r="F97" s="11" t="inlineStr">
        <is>
          <t>LAK</t>
        </is>
      </c>
      <c r="G97" s="12" t="n">
        <v>-155</v>
      </c>
      <c r="H97" s="14">
        <f>IF(OR(F97="",G97="",AND(I97&lt;&gt;"W",I97&lt;&gt;"L")),"",IF(I97="W",IF(G97&gt;0,G97/100,1),IF(G97&lt;0,G97/100,-1)))</f>
        <v/>
      </c>
      <c r="I97" s="11" t="inlineStr">
        <is>
          <t>L</t>
        </is>
      </c>
      <c r="J97" s="10" t="inlineStr">
        <is>
          <t>BOS 4, LAK 1</t>
        </is>
      </c>
      <c r="K97" s="10" t="inlineStr">
        <is>
          <t>DraftKings closing</t>
        </is>
      </c>
      <c r="L97" s="11" t="inlineStr"/>
    </row>
    <row r="98">
      <c r="A98" s="9" t="n">
        <v>46312</v>
      </c>
      <c r="B98" s="10" t="inlineStr">
        <is>
          <t>EDM @ UTA</t>
        </is>
      </c>
      <c r="C98" s="13" t="n">
        <v>64.67</v>
      </c>
      <c r="D98" s="13" t="n">
        <v>75.33</v>
      </c>
      <c r="E98" s="13">
        <f>IF(OR(C98="",D98=""),"",ABS(C98-D98))</f>
        <v/>
      </c>
      <c r="F98" s="11" t="inlineStr">
        <is>
          <t>UTA</t>
        </is>
      </c>
      <c r="G98" s="12" t="n">
        <v>-155</v>
      </c>
      <c r="H98" s="14">
        <f>IF(OR(F98="",G98="",AND(I98&lt;&gt;"W",I98&lt;&gt;"L")),"",IF(I98="W",IF(G98&gt;0,G98/100,1),IF(G98&lt;0,G98/100,-1)))</f>
        <v/>
      </c>
      <c r="I98" s="11" t="inlineStr">
        <is>
          <t>L</t>
        </is>
      </c>
      <c r="J98" s="10" t="inlineStr">
        <is>
          <t>EDM 6, UTA 2</t>
        </is>
      </c>
      <c r="K98" s="10" t="inlineStr">
        <is>
          <t>DraftKings closing</t>
        </is>
      </c>
      <c r="L98" s="11" t="inlineStr"/>
    </row>
    <row r="99">
      <c r="A99" s="9" t="n">
        <v>46312</v>
      </c>
      <c r="B99" s="10" t="inlineStr">
        <is>
          <t>PIT @ VGK</t>
        </is>
      </c>
      <c r="C99" s="13" t="n">
        <v>63.19</v>
      </c>
      <c r="D99" s="13" t="n">
        <v>81.48999999999999</v>
      </c>
      <c r="E99" s="13">
        <f>IF(OR(C99="",D99=""),"",ABS(C99-D99))</f>
        <v/>
      </c>
      <c r="F99" s="11" t="inlineStr">
        <is>
          <t>VGK</t>
        </is>
      </c>
      <c r="G99" s="12" t="n">
        <v>-218</v>
      </c>
      <c r="H99" s="14">
        <f>IF(OR(F99="",G99="",AND(I99&lt;&gt;"W",I99&lt;&gt;"L")),"",IF(I99="W",IF(G99&gt;0,G99/100,1),IF(G99&lt;0,G99/100,-1)))</f>
        <v/>
      </c>
      <c r="I99" s="11" t="inlineStr">
        <is>
          <t>W</t>
        </is>
      </c>
      <c r="J99" s="10" t="inlineStr">
        <is>
          <t>PIT 2, VGK 6</t>
        </is>
      </c>
      <c r="K99" s="10" t="inlineStr">
        <is>
          <t>DraftKings closing</t>
        </is>
      </c>
      <c r="L99" s="11" t="inlineStr"/>
    </row>
    <row r="100">
      <c r="A100" s="9" t="n">
        <v>46313</v>
      </c>
      <c r="B100" s="10" t="inlineStr">
        <is>
          <t>CBJ @ MIN</t>
        </is>
      </c>
      <c r="C100" s="13" t="n">
        <v>69.18000000000001</v>
      </c>
      <c r="D100" s="13" t="n">
        <v>79.65000000000001</v>
      </c>
      <c r="E100" s="13">
        <f>IF(OR(C100="",D100=""),"",ABS(C100-D100))</f>
        <v/>
      </c>
      <c r="F100" s="11" t="inlineStr">
        <is>
          <t>MIN</t>
        </is>
      </c>
      <c r="G100" s="12" t="n">
        <v>-192</v>
      </c>
      <c r="H100" s="14">
        <f>IF(OR(F100="",G100="",AND(I100&lt;&gt;"W",I100&lt;&gt;"L")),"",IF(I100="W",IF(G100&gt;0,G100/100,1),IF(G100&lt;0,G100/100,-1)))</f>
        <v/>
      </c>
      <c r="I100" s="11" t="inlineStr">
        <is>
          <t>W</t>
        </is>
      </c>
      <c r="J100" s="10" t="inlineStr">
        <is>
          <t>CBJ 1, MIN 2</t>
        </is>
      </c>
      <c r="K100" s="10" t="inlineStr">
        <is>
          <t>DraftKings closing</t>
        </is>
      </c>
      <c r="L100" s="11" t="inlineStr"/>
    </row>
    <row r="101">
      <c r="A101" s="9" t="n">
        <v>46313</v>
      </c>
      <c r="B101" s="10" t="inlineStr">
        <is>
          <t>CAR @ CGY</t>
        </is>
      </c>
      <c r="C101" s="13" t="n">
        <v>80.81</v>
      </c>
      <c r="D101" s="13" t="n">
        <v>58.51</v>
      </c>
      <c r="E101" s="13">
        <f>IF(OR(C101="",D101=""),"",ABS(C101-D101))</f>
        <v/>
      </c>
      <c r="F101" s="11" t="inlineStr">
        <is>
          <t>CAR</t>
        </is>
      </c>
      <c r="G101" s="12" t="n">
        <v>-205</v>
      </c>
      <c r="H101" s="14">
        <f>IF(OR(F101="",G101="",AND(I101&lt;&gt;"W",I101&lt;&gt;"L")),"",IF(I101="W",IF(G101&gt;0,G101/100,1),IF(G101&lt;0,G101/100,-1)))</f>
        <v/>
      </c>
      <c r="I101" s="11" t="inlineStr">
        <is>
          <t>L</t>
        </is>
      </c>
      <c r="J101" s="10" t="inlineStr">
        <is>
          <t>CAR 2, CGY 3</t>
        </is>
      </c>
      <c r="K101" s="10" t="inlineStr">
        <is>
          <t>DraftKings closing</t>
        </is>
      </c>
      <c r="L101" s="11" t="inlineStr"/>
    </row>
    <row r="102">
      <c r="A102" s="9" t="n">
        <v>46314</v>
      </c>
      <c r="B102" s="10" t="inlineStr">
        <is>
          <t>ANA @ NYR</t>
        </is>
      </c>
      <c r="C102" s="13" t="n">
        <v>69.12</v>
      </c>
      <c r="D102" s="13" t="n">
        <v>70.81999999999999</v>
      </c>
      <c r="E102" s="13">
        <f>IF(OR(C102="",D102=""),"",ABS(C102-D102))</f>
        <v/>
      </c>
      <c r="F102" s="11" t="inlineStr">
        <is>
          <t>NYR</t>
        </is>
      </c>
      <c r="G102" s="12" t="n">
        <v>-155</v>
      </c>
      <c r="H102" s="14">
        <f>IF(OR(F102="",G102="",AND(I102&lt;&gt;"W",I102&lt;&gt;"L")),"",IF(I102="W",IF(G102&gt;0,G102/100,1),IF(G102&lt;0,G102/100,-1)))</f>
        <v/>
      </c>
      <c r="I102" s="11" t="inlineStr">
        <is>
          <t>W</t>
        </is>
      </c>
      <c r="J102" s="10" t="inlineStr">
        <is>
          <t>ANA 2, NYR 5</t>
        </is>
      </c>
      <c r="K102" s="10" t="inlineStr">
        <is>
          <t>DraftKings closing</t>
        </is>
      </c>
      <c r="L102" s="11" t="inlineStr"/>
    </row>
    <row r="103">
      <c r="A103" s="9" t="n">
        <v>46314</v>
      </c>
      <c r="B103" s="10" t="inlineStr">
        <is>
          <t>COL @ PHI</t>
        </is>
      </c>
      <c r="C103" s="13" t="n">
        <v>76.81</v>
      </c>
      <c r="D103" s="13" t="n">
        <v>70.61</v>
      </c>
      <c r="E103" s="13">
        <f>IF(OR(C103="",D103=""),"",ABS(C103-D103))</f>
        <v/>
      </c>
      <c r="F103" s="11" t="inlineStr">
        <is>
          <t>COL</t>
        </is>
      </c>
      <c r="G103" s="12" t="n">
        <v>-250</v>
      </c>
      <c r="H103" s="14">
        <f>IF(OR(F103="",G103="",AND(I103&lt;&gt;"W",I103&lt;&gt;"L")),"",IF(I103="W",IF(G103&gt;0,G103/100,1),IF(G103&lt;0,G103/100,-1)))</f>
        <v/>
      </c>
      <c r="I103" s="11" t="inlineStr">
        <is>
          <t>L</t>
        </is>
      </c>
      <c r="J103" s="10" t="inlineStr">
        <is>
          <t>COL 2, PHI 3</t>
        </is>
      </c>
      <c r="K103" s="10" t="inlineStr">
        <is>
          <t>DraftKings closing</t>
        </is>
      </c>
      <c r="L103" s="11" t="inlineStr"/>
    </row>
    <row r="104">
      <c r="A104" s="9" t="n">
        <v>46314</v>
      </c>
      <c r="B104" s="10" t="inlineStr">
        <is>
          <t>SJS @ TOR</t>
        </is>
      </c>
      <c r="C104" s="13" t="n">
        <v>77.66</v>
      </c>
      <c r="D104" s="13" t="n">
        <v>59.69</v>
      </c>
      <c r="E104" s="13">
        <f>IF(OR(C104="",D104=""),"",ABS(C104-D104))</f>
        <v/>
      </c>
      <c r="F104" s="11" t="inlineStr">
        <is>
          <t>SJS</t>
        </is>
      </c>
      <c r="G104" s="12" t="n">
        <v>124</v>
      </c>
      <c r="H104" s="14">
        <f>IF(OR(F104="",G104="",AND(I104&lt;&gt;"W",I104&lt;&gt;"L")),"",IF(I104="W",IF(G104&gt;0,G104/100,1),IF(G104&lt;0,G104/100,-1)))</f>
        <v/>
      </c>
      <c r="I104" s="11" t="inlineStr">
        <is>
          <t>L</t>
        </is>
      </c>
      <c r="J104" s="10" t="inlineStr">
        <is>
          <t>SJS 1, TOR 3</t>
        </is>
      </c>
      <c r="K104" s="10" t="inlineStr">
        <is>
          <t>DraftKings closing</t>
        </is>
      </c>
      <c r="L104" s="11" t="inlineStr"/>
    </row>
    <row r="105">
      <c r="A105" s="9" t="n">
        <v>46314</v>
      </c>
      <c r="B105" s="10" t="inlineStr">
        <is>
          <t>PIT @ UTA</t>
        </is>
      </c>
      <c r="C105" s="13" t="n">
        <v>62.87</v>
      </c>
      <c r="D105" s="13" t="n">
        <v>59.88</v>
      </c>
      <c r="E105" s="13">
        <f>IF(OR(C105="",D105=""),"",ABS(C105-D105))</f>
        <v/>
      </c>
      <c r="F105" s="11" t="inlineStr">
        <is>
          <t>PIT</t>
        </is>
      </c>
      <c r="G105" s="12" t="n">
        <v>154</v>
      </c>
      <c r="H105" s="14">
        <f>IF(OR(F105="",G105="",AND(I105&lt;&gt;"W",I105&lt;&gt;"L")),"",IF(I105="W",IF(G105&gt;0,G105/100,1),IF(G105&lt;0,G105/100,-1)))</f>
        <v/>
      </c>
      <c r="I105" s="11" t="inlineStr">
        <is>
          <t>L</t>
        </is>
      </c>
      <c r="J105" s="10" t="inlineStr">
        <is>
          <t>PIT 4, UTA 5</t>
        </is>
      </c>
      <c r="K105" s="10" t="inlineStr">
        <is>
          <t>DraftKings closing</t>
        </is>
      </c>
      <c r="L105" s="11" t="inlineStr"/>
    </row>
    <row r="106">
      <c r="A106" s="9" t="n">
        <v>46315</v>
      </c>
      <c r="B106" s="10" t="inlineStr">
        <is>
          <t>SJS @ MTL</t>
        </is>
      </c>
      <c r="C106" s="13" t="n">
        <v>67.52</v>
      </c>
      <c r="D106" s="13" t="n">
        <v>77.54000000000001</v>
      </c>
      <c r="E106" s="13">
        <f>IF(OR(C106="",D106=""),"",ABS(C106-D106))</f>
        <v/>
      </c>
      <c r="F106" s="11" t="inlineStr">
        <is>
          <t>MTL</t>
        </is>
      </c>
      <c r="G106" s="12" t="n">
        <v>-225</v>
      </c>
      <c r="H106" s="14">
        <f>IF(OR(F106="",G106="",AND(I106&lt;&gt;"W",I106&lt;&gt;"L")),"",IF(I106="W",IF(G106&gt;0,G106/100,1),IF(G106&lt;0,G106/100,-1)))</f>
        <v/>
      </c>
      <c r="I106" s="11" t="inlineStr">
        <is>
          <t>L</t>
        </is>
      </c>
      <c r="J106" s="10" t="inlineStr">
        <is>
          <t>SJS 4, MTL 3</t>
        </is>
      </c>
      <c r="K106" s="10" t="inlineStr">
        <is>
          <t>DraftKings closing</t>
        </is>
      </c>
      <c r="L106" s="11" t="inlineStr"/>
    </row>
    <row r="107">
      <c r="A107" s="9" t="n">
        <v>46315</v>
      </c>
      <c r="B107" s="10" t="inlineStr">
        <is>
          <t>COL @ NJD</t>
        </is>
      </c>
      <c r="C107" s="13" t="n">
        <v>70.22</v>
      </c>
      <c r="D107" s="13" t="n">
        <v>73.17</v>
      </c>
      <c r="E107" s="13">
        <f>IF(OR(C107="",D107=""),"",ABS(C107-D107))</f>
        <v/>
      </c>
      <c r="F107" s="11" t="inlineStr">
        <is>
          <t>NJD</t>
        </is>
      </c>
      <c r="G107" s="12" t="n">
        <v>-115</v>
      </c>
      <c r="H107" s="14">
        <f>IF(OR(F107="",G107="",AND(I107&lt;&gt;"W",I107&lt;&gt;"L")),"",IF(I107="W",IF(G107&gt;0,G107/100,1),IF(G107&lt;0,G107/100,-1)))</f>
        <v/>
      </c>
      <c r="I107" s="11" t="inlineStr">
        <is>
          <t>W</t>
        </is>
      </c>
      <c r="J107" s="10" t="inlineStr">
        <is>
          <t>COL 3, NJD 4</t>
        </is>
      </c>
      <c r="K107" s="10" t="inlineStr">
        <is>
          <t>DraftKings closing</t>
        </is>
      </c>
      <c r="L107" s="11" t="inlineStr"/>
    </row>
    <row r="108">
      <c r="A108" s="9" t="n">
        <v>46315</v>
      </c>
      <c r="B108" s="10" t="inlineStr">
        <is>
          <t>ANA @ NYI</t>
        </is>
      </c>
      <c r="C108" s="13" t="n">
        <v>57.49</v>
      </c>
      <c r="D108" s="13" t="n">
        <v>80.31</v>
      </c>
      <c r="E108" s="13">
        <f>IF(OR(C108="",D108=""),"",ABS(C108-D108))</f>
        <v/>
      </c>
      <c r="F108" s="11" t="inlineStr">
        <is>
          <t>NYI</t>
        </is>
      </c>
      <c r="G108" s="12" t="n">
        <v>-155</v>
      </c>
      <c r="H108" s="14">
        <f>IF(OR(F108="",G108="",AND(I108&lt;&gt;"W",I108&lt;&gt;"L")),"",IF(I108="W",IF(G108&gt;0,G108/100,1),IF(G108&lt;0,G108/100,-1)))</f>
        <v/>
      </c>
      <c r="I108" s="11" t="inlineStr">
        <is>
          <t>W</t>
        </is>
      </c>
      <c r="J108" s="10" t="inlineStr">
        <is>
          <t>ANA 2, NYI 3</t>
        </is>
      </c>
      <c r="K108" s="10" t="inlineStr">
        <is>
          <t>DraftKings closing</t>
        </is>
      </c>
      <c r="L108" s="11" t="inlineStr"/>
    </row>
    <row r="109">
      <c r="A109" s="9" t="n">
        <v>46315</v>
      </c>
      <c r="B109" s="10" t="inlineStr">
        <is>
          <t>LAK @ WSH</t>
        </is>
      </c>
      <c r="C109" s="13" t="n">
        <v>68.42</v>
      </c>
      <c r="D109" s="13" t="n">
        <v>66.83</v>
      </c>
      <c r="E109" s="13">
        <f>IF(OR(C109="",D109=""),"",ABS(C109-D109))</f>
        <v/>
      </c>
      <c r="F109" s="11" t="inlineStr">
        <is>
          <t>LAK</t>
        </is>
      </c>
      <c r="G109" s="12" t="n">
        <v>136</v>
      </c>
      <c r="H109" s="14">
        <f>IF(OR(F109="",G109="",AND(I109&lt;&gt;"W",I109&lt;&gt;"L")),"",IF(I109="W",IF(G109&gt;0,G109/100,1),IF(G109&lt;0,G109/100,-1)))</f>
        <v/>
      </c>
      <c r="I109" s="11" t="inlineStr">
        <is>
          <t>W</t>
        </is>
      </c>
      <c r="J109" s="10" t="inlineStr">
        <is>
          <t>LAK 5, WSH 2</t>
        </is>
      </c>
      <c r="K109" s="10" t="inlineStr">
        <is>
          <t>DraftKings closing</t>
        </is>
      </c>
      <c r="L109" s="11" t="inlineStr"/>
    </row>
    <row r="110">
      <c r="A110" s="9" t="n">
        <v>46315</v>
      </c>
      <c r="B110" s="10" t="inlineStr">
        <is>
          <t>TOR @ CBJ</t>
        </is>
      </c>
      <c r="C110" s="13" t="n">
        <v>72.48</v>
      </c>
      <c r="D110" s="13" t="n">
        <v>53.52</v>
      </c>
      <c r="E110" s="13">
        <f>IF(OR(C110="",D110=""),"",ABS(C110-D110))</f>
        <v/>
      </c>
      <c r="F110" s="11" t="inlineStr">
        <is>
          <t>TOR</t>
        </is>
      </c>
      <c r="G110" s="12" t="n">
        <v>140</v>
      </c>
      <c r="H110" s="14">
        <f>IF(OR(F110="",G110="",AND(I110&lt;&gt;"W",I110&lt;&gt;"L")),"",IF(I110="W",IF(G110&gt;0,G110/100,1),IF(G110&lt;0,G110/100,-1)))</f>
        <v/>
      </c>
      <c r="I110" s="11" t="inlineStr">
        <is>
          <t>W</t>
        </is>
      </c>
      <c r="J110" s="10" t="inlineStr">
        <is>
          <t>TOR 6, CBJ 2</t>
        </is>
      </c>
      <c r="K110" s="10" t="inlineStr">
        <is>
          <t>DraftKings closing</t>
        </is>
      </c>
      <c r="L110" s="11" t="inlineStr"/>
    </row>
    <row r="111">
      <c r="A111" s="9" t="n">
        <v>46315</v>
      </c>
      <c r="B111" s="10" t="inlineStr">
        <is>
          <t>WPG @ STL</t>
        </is>
      </c>
      <c r="C111" s="13" t="n">
        <v>59.19</v>
      </c>
      <c r="D111" s="13" t="n">
        <v>62.77</v>
      </c>
      <c r="E111" s="13">
        <f>IF(OR(C111="",D111=""),"",ABS(C111-D111))</f>
        <v/>
      </c>
      <c r="F111" s="11" t="inlineStr">
        <is>
          <t>STL</t>
        </is>
      </c>
      <c r="G111" s="12" t="n">
        <v>-135</v>
      </c>
      <c r="H111" s="14">
        <f>IF(OR(F111="",G111="",AND(I111&lt;&gt;"W",I111&lt;&gt;"L")),"",IF(I111="W",IF(G111&gt;0,G111/100,1),IF(G111&lt;0,G111/100,-1)))</f>
        <v/>
      </c>
      <c r="I111" s="11" t="inlineStr">
        <is>
          <t>W</t>
        </is>
      </c>
      <c r="J111" s="10" t="inlineStr">
        <is>
          <t>WPG 1, STL 2</t>
        </is>
      </c>
      <c r="K111" s="10" t="inlineStr">
        <is>
          <t>DraftKings closing</t>
        </is>
      </c>
      <c r="L111" s="11" t="inlineStr"/>
    </row>
    <row r="112">
      <c r="A112" s="9" t="n">
        <v>46315</v>
      </c>
      <c r="B112" s="10" t="inlineStr">
        <is>
          <t>BOS @ DAL</t>
        </is>
      </c>
      <c r="C112" s="13" t="n">
        <v>71.58</v>
      </c>
      <c r="D112" s="13" t="n">
        <v>85.51000000000001</v>
      </c>
      <c r="E112" s="13">
        <f>IF(OR(C112="",D112=""),"",ABS(C112-D112))</f>
        <v/>
      </c>
      <c r="F112" s="11" t="inlineStr">
        <is>
          <t>DAL</t>
        </is>
      </c>
      <c r="G112" s="12" t="n">
        <v>-170</v>
      </c>
      <c r="H112" s="14">
        <f>IF(OR(F112="",G112="",AND(I112&lt;&gt;"W",I112&lt;&gt;"L")),"",IF(I112="W",IF(G112&gt;0,G112/100,1),IF(G112&lt;0,G112/100,-1)))</f>
        <v/>
      </c>
      <c r="I112" s="11" t="inlineStr">
        <is>
          <t>W</t>
        </is>
      </c>
      <c r="J112" s="10" t="inlineStr">
        <is>
          <t>BOS 2, DAL 3</t>
        </is>
      </c>
      <c r="K112" s="10" t="inlineStr">
        <is>
          <t>DraftKings closing</t>
        </is>
      </c>
      <c r="L112" s="11" t="inlineStr"/>
    </row>
    <row r="113">
      <c r="A113" s="9" t="n">
        <v>46315</v>
      </c>
      <c r="B113" s="10" t="inlineStr">
        <is>
          <t>MIN @ EDM</t>
        </is>
      </c>
      <c r="C113" s="13" t="n">
        <v>86.48</v>
      </c>
      <c r="D113" s="13" t="n">
        <v>80.12</v>
      </c>
      <c r="E113" s="13">
        <f>IF(OR(C113="",D113=""),"",ABS(C113-D113))</f>
        <v/>
      </c>
      <c r="F113" s="11" t="inlineStr">
        <is>
          <t>MIN</t>
        </is>
      </c>
      <c r="G113" s="12" t="n">
        <v>105</v>
      </c>
      <c r="H113" s="14">
        <f>IF(OR(F113="",G113="",AND(I113&lt;&gt;"W",I113&lt;&gt;"L")),"",IF(I113="W",IF(G113&gt;0,G113/100,1),IF(G113&lt;0,G113/100,-1)))</f>
        <v/>
      </c>
      <c r="I113" s="11" t="inlineStr">
        <is>
          <t>L</t>
        </is>
      </c>
      <c r="J113" s="10" t="inlineStr">
        <is>
          <t>MIN 3, EDM 4</t>
        </is>
      </c>
      <c r="K113" s="10" t="inlineStr">
        <is>
          <t>DraftKings closing</t>
        </is>
      </c>
      <c r="L113" s="11" t="inlineStr"/>
    </row>
    <row r="114">
      <c r="A114" s="9" t="n">
        <v>46315</v>
      </c>
      <c r="B114" s="10" t="inlineStr">
        <is>
          <t>DET @ SEA</t>
        </is>
      </c>
      <c r="C114" s="13" t="n">
        <v>62.34</v>
      </c>
      <c r="D114" s="13" t="n">
        <v>40.38</v>
      </c>
      <c r="E114" s="13">
        <f>IF(OR(C114="",D114=""),"",ABS(C114-D114))</f>
        <v/>
      </c>
      <c r="F114" s="11" t="inlineStr">
        <is>
          <t>DET</t>
        </is>
      </c>
      <c r="G114" s="12" t="n">
        <v>-122</v>
      </c>
      <c r="H114" s="14">
        <f>IF(OR(F114="",G114="",AND(I114&lt;&gt;"W",I114&lt;&gt;"L")),"",IF(I114="W",IF(G114&gt;0,G114/100,1),IF(G114&lt;0,G114/100,-1)))</f>
        <v/>
      </c>
      <c r="I114" s="11" t="inlineStr">
        <is>
          <t>L</t>
        </is>
      </c>
      <c r="J114" s="10" t="inlineStr">
        <is>
          <t>DET 3, SEA 4</t>
        </is>
      </c>
      <c r="K114" s="10" t="inlineStr">
        <is>
          <t>DraftKings closing</t>
        </is>
      </c>
      <c r="L114" s="11" t="inlineStr"/>
    </row>
    <row r="115">
      <c r="A115" s="9" t="n">
        <v>46315</v>
      </c>
      <c r="B115" s="10" t="inlineStr">
        <is>
          <t>CAR @ VAN</t>
        </is>
      </c>
      <c r="C115" s="13" t="n">
        <v>76.90000000000001</v>
      </c>
      <c r="D115" s="13" t="n">
        <v>54.7</v>
      </c>
      <c r="E115" s="13">
        <f>IF(OR(C115="",D115=""),"",ABS(C115-D115))</f>
        <v/>
      </c>
      <c r="F115" s="11" t="inlineStr">
        <is>
          <t>CAR</t>
        </is>
      </c>
      <c r="G115" s="12" t="n">
        <v>-285</v>
      </c>
      <c r="H115" s="14">
        <f>IF(OR(F115="",G115="",AND(I115&lt;&gt;"W",I115&lt;&gt;"L")),"",IF(I115="W",IF(G115&gt;0,G115/100,1),IF(G115&lt;0,G115/100,-1)))</f>
        <v/>
      </c>
      <c r="I115" s="11" t="inlineStr">
        <is>
          <t>W</t>
        </is>
      </c>
      <c r="J115" s="10" t="inlineStr">
        <is>
          <t>CAR 6, VAN 3</t>
        </is>
      </c>
      <c r="K115" s="10" t="inlineStr">
        <is>
          <t>DraftKings closing</t>
        </is>
      </c>
      <c r="L115" s="11" t="inlineStr"/>
    </row>
    <row r="116">
      <c r="A116" s="9" t="n">
        <v>46315</v>
      </c>
      <c r="B116" s="10" t="inlineStr">
        <is>
          <t>TBL @ VGK</t>
        </is>
      </c>
      <c r="C116" s="13" t="n">
        <v>85.3</v>
      </c>
      <c r="D116" s="13" t="n">
        <v>77.13</v>
      </c>
      <c r="E116" s="13">
        <f>IF(OR(C116="",D116=""),"",ABS(C116-D116))</f>
        <v/>
      </c>
      <c r="F116" s="11" t="inlineStr">
        <is>
          <t>TBL</t>
        </is>
      </c>
      <c r="G116" s="12" t="n">
        <v>-110</v>
      </c>
      <c r="H116" s="14">
        <f>IF(OR(F116="",G116="",AND(I116&lt;&gt;"W",I116&lt;&gt;"L")),"",IF(I116="W",IF(G116&gt;0,G116/100,1),IF(G116&lt;0,G116/100,-1)))</f>
        <v/>
      </c>
      <c r="I116" s="11" t="inlineStr">
        <is>
          <t>W</t>
        </is>
      </c>
      <c r="J116" s="10" t="inlineStr">
        <is>
          <t>TBL 6, VGK 2</t>
        </is>
      </c>
      <c r="K116" s="10" t="inlineStr">
        <is>
          <t>DraftKings closing</t>
        </is>
      </c>
      <c r="L116" s="11" t="inlineStr"/>
    </row>
    <row r="117">
      <c r="A117" s="9" t="n">
        <v>46316</v>
      </c>
      <c r="B117" s="10" t="inlineStr">
        <is>
          <t>PHI @ BUF</t>
        </is>
      </c>
      <c r="C117" s="13" t="n">
        <v>69.78</v>
      </c>
      <c r="D117" s="13" t="n">
        <v>62.46</v>
      </c>
      <c r="E117" s="13">
        <f>IF(OR(C117="",D117=""),"",ABS(C117-D117))</f>
        <v/>
      </c>
      <c r="F117" s="11" t="inlineStr">
        <is>
          <t>PHI</t>
        </is>
      </c>
      <c r="G117" s="12" t="n">
        <v>180</v>
      </c>
      <c r="H117" s="14">
        <f>IF(OR(F117="",G117="",AND(I117&lt;&gt;"W",I117&lt;&gt;"L")),"",IF(I117="W",IF(G117&gt;0,G117/100,1),IF(G117&lt;0,G117/100,-1)))</f>
        <v/>
      </c>
      <c r="I117" s="11" t="inlineStr">
        <is>
          <t>W</t>
        </is>
      </c>
      <c r="J117" s="10" t="inlineStr">
        <is>
          <t>PHI 3, BUF 1</t>
        </is>
      </c>
      <c r="K117" s="10" t="inlineStr">
        <is>
          <t>DraftKings closing (missed the pick-time run)</t>
        </is>
      </c>
      <c r="L117" s="11" t="inlineStr"/>
    </row>
    <row r="118">
      <c r="A118" s="9" t="n">
        <v>46316</v>
      </c>
      <c r="B118" s="10" t="inlineStr">
        <is>
          <t>FLA @ OTT</t>
        </is>
      </c>
      <c r="C118" s="13" t="n">
        <v>99.62</v>
      </c>
      <c r="D118" s="13" t="n">
        <v>69.39</v>
      </c>
      <c r="E118" s="13">
        <f>IF(OR(C118="",D118=""),"",ABS(C118-D118))</f>
        <v/>
      </c>
      <c r="F118" s="11" t="inlineStr">
        <is>
          <t>FLA</t>
        </is>
      </c>
      <c r="G118" s="12" t="n">
        <v>-110</v>
      </c>
      <c r="H118" s="14">
        <f>IF(OR(F118="",G118="",AND(I118&lt;&gt;"W",I118&lt;&gt;"L")),"",IF(I118="W",IF(G118&gt;0,G118/100,1),IF(G118&lt;0,G118/100,-1)))</f>
        <v/>
      </c>
      <c r="I118" s="11" t="inlineStr">
        <is>
          <t>L</t>
        </is>
      </c>
      <c r="J118" s="10" t="inlineStr">
        <is>
          <t>FLA 1, OTT 5</t>
        </is>
      </c>
      <c r="K118" s="10" t="inlineStr">
        <is>
          <t>DraftKings closing (missed the pick-time run)</t>
        </is>
      </c>
      <c r="L118" s="11" t="inlineStr"/>
    </row>
    <row r="119">
      <c r="A119" s="9" t="n">
        <v>46317</v>
      </c>
      <c r="B119" s="10" t="inlineStr">
        <is>
          <t>NSH @ BOS</t>
        </is>
      </c>
      <c r="C119" s="13" t="n">
        <v>77.23</v>
      </c>
      <c r="D119" s="13" t="n">
        <v>59.78</v>
      </c>
      <c r="E119" s="13">
        <f>IF(OR(C119="",D119=""),"",ABS(C119-D119))</f>
        <v/>
      </c>
      <c r="F119" s="11" t="inlineStr">
        <is>
          <t>NSH</t>
        </is>
      </c>
      <c r="G119" s="12" t="n">
        <v>130</v>
      </c>
      <c r="H119" s="14">
        <f>IF(OR(F119="",G119="",AND(I119&lt;&gt;"W",I119&lt;&gt;"L")),"",IF(I119="W",IF(G119&gt;0,G119/100,1),IF(G119&lt;0,G119/100,-1)))</f>
        <v/>
      </c>
      <c r="I119" s="11" t="inlineStr">
        <is>
          <t>L</t>
        </is>
      </c>
      <c r="J119" s="10" t="inlineStr">
        <is>
          <t>NSH 0, BOS 6</t>
        </is>
      </c>
      <c r="K119" s="10" t="inlineStr">
        <is>
          <t>DraftKings at pick time (4:00 PM CT)</t>
        </is>
      </c>
      <c r="L119" s="11" t="inlineStr">
        <is>
          <t>No</t>
        </is>
      </c>
    </row>
    <row r="120">
      <c r="A120" s="9" t="n">
        <v>46317</v>
      </c>
      <c r="B120" s="10" t="inlineStr">
        <is>
          <t>NYR @ TOR</t>
        </is>
      </c>
      <c r="C120" s="13" t="n">
        <v>82.51000000000001</v>
      </c>
      <c r="D120" s="13" t="n">
        <v>76.68000000000001</v>
      </c>
      <c r="E120" s="13">
        <f>IF(OR(C120="",D120=""),"",ABS(C120-D120))</f>
        <v/>
      </c>
      <c r="F120" s="11" t="inlineStr">
        <is>
          <t>NYR</t>
        </is>
      </c>
      <c r="G120" s="12" t="n">
        <v>-112</v>
      </c>
      <c r="H120" s="14">
        <f>IF(OR(F120="",G120="",AND(I120&lt;&gt;"W",I120&lt;&gt;"L")),"",IF(I120="W",IF(G120&gt;0,G120/100,1),IF(G120&lt;0,G120/100,-1)))</f>
        <v/>
      </c>
      <c r="I120" s="11" t="inlineStr">
        <is>
          <t>L</t>
        </is>
      </c>
      <c r="J120" s="10" t="inlineStr">
        <is>
          <t>NYR 4, TOR 5</t>
        </is>
      </c>
      <c r="K120" s="10" t="inlineStr">
        <is>
          <t>DraftKings at pick time (4:00 PM CT)</t>
        </is>
      </c>
      <c r="L120" s="11" t="inlineStr">
        <is>
          <t>Yes</t>
        </is>
      </c>
    </row>
    <row r="121">
      <c r="A121" s="9" t="n">
        <v>46317</v>
      </c>
      <c r="B121" s="10" t="inlineStr">
        <is>
          <t>SJS @ OTT</t>
        </is>
      </c>
      <c r="C121" s="13" t="n">
        <v>63.19</v>
      </c>
      <c r="D121" s="13" t="n">
        <v>86.05</v>
      </c>
      <c r="E121" s="13">
        <f>IF(OR(C121="",D121=""),"",ABS(C121-D121))</f>
        <v/>
      </c>
      <c r="F121" s="11" t="inlineStr">
        <is>
          <t>OTT</t>
        </is>
      </c>
      <c r="G121" s="12" t="n">
        <v>-135</v>
      </c>
      <c r="H121" s="14">
        <f>IF(OR(F121="",G121="",AND(I121&lt;&gt;"W",I121&lt;&gt;"L")),"",IF(I121="W",IF(G121&gt;0,G121/100,1),IF(G121&lt;0,G121/100,-1)))</f>
        <v/>
      </c>
      <c r="I121" s="11" t="inlineStr">
        <is>
          <t>L</t>
        </is>
      </c>
      <c r="J121" s="10" t="inlineStr">
        <is>
          <t>SJS 6, OTT 2</t>
        </is>
      </c>
      <c r="K121" s="10" t="inlineStr">
        <is>
          <t>DraftKings at pick time (4:00 PM CT)</t>
        </is>
      </c>
      <c r="L121" s="11" t="inlineStr">
        <is>
          <t>Yes</t>
        </is>
      </c>
    </row>
    <row r="122">
      <c r="A122" s="9" t="n">
        <v>46317</v>
      </c>
      <c r="B122" s="10" t="inlineStr">
        <is>
          <t>ANA @ NJD</t>
        </is>
      </c>
      <c r="C122" s="13" t="n">
        <v>54.31</v>
      </c>
      <c r="D122" s="13" t="n">
        <v>70.5</v>
      </c>
      <c r="E122" s="13">
        <f>IF(OR(C122="",D122=""),"",ABS(C122-D122))</f>
        <v/>
      </c>
      <c r="F122" s="11" t="inlineStr">
        <is>
          <t>NJD</t>
        </is>
      </c>
      <c r="G122" s="12" t="n">
        <v>-218</v>
      </c>
      <c r="H122" s="14">
        <f>IF(OR(F122="",G122="",AND(I122&lt;&gt;"W",I122&lt;&gt;"L")),"",IF(I122="W",IF(G122&gt;0,G122/100,1),IF(G122&lt;0,G122/100,-1)))</f>
        <v/>
      </c>
      <c r="I122" s="11" t="inlineStr">
        <is>
          <t>W</t>
        </is>
      </c>
      <c r="J122" s="10" t="inlineStr">
        <is>
          <t>ANA 1, NJD 4</t>
        </is>
      </c>
      <c r="K122" s="10" t="inlineStr">
        <is>
          <t>DraftKings at pick time (4:00 PM CT)</t>
        </is>
      </c>
      <c r="L122" s="11" t="inlineStr">
        <is>
          <t>No</t>
        </is>
      </c>
    </row>
    <row r="123">
      <c r="A123" s="9" t="n">
        <v>46317</v>
      </c>
      <c r="B123" s="10" t="inlineStr">
        <is>
          <t>FLA @ PIT</t>
        </is>
      </c>
      <c r="C123" s="13" t="n">
        <v>53.95</v>
      </c>
      <c r="D123" s="13" t="n">
        <v>58.91</v>
      </c>
      <c r="E123" s="13">
        <f>IF(OR(C123="",D123=""),"",ABS(C123-D123))</f>
        <v/>
      </c>
      <c r="F123" s="11" t="inlineStr">
        <is>
          <t>PIT</t>
        </is>
      </c>
      <c r="G123" s="12" t="n">
        <v>-108</v>
      </c>
      <c r="H123" s="14">
        <f>IF(OR(F123="",G123="",AND(I123&lt;&gt;"W",I123&lt;&gt;"L")),"",IF(I123="W",IF(G123&gt;0,G123/100,1),IF(G123&lt;0,G123/100,-1)))</f>
        <v/>
      </c>
      <c r="I123" s="11" t="inlineStr">
        <is>
          <t>W</t>
        </is>
      </c>
      <c r="J123" s="10" t="inlineStr">
        <is>
          <t>FLA 0, PIT 4</t>
        </is>
      </c>
      <c r="K123" s="10" t="inlineStr">
        <is>
          <t>DraftKings at pick time (4:00 PM CT)</t>
        </is>
      </c>
      <c r="L123" s="11" t="inlineStr">
        <is>
          <t>Yes</t>
        </is>
      </c>
    </row>
    <row r="124">
      <c r="A124" s="9" t="n">
        <v>46317</v>
      </c>
      <c r="B124" s="10" t="inlineStr">
        <is>
          <t>LAK @ NYI</t>
        </is>
      </c>
      <c r="C124" s="13" t="n">
        <v>68.72</v>
      </c>
      <c r="D124" s="13" t="n">
        <v>85.69</v>
      </c>
      <c r="E124" s="13">
        <f>IF(OR(C124="",D124=""),"",ABS(C124-D124))</f>
        <v/>
      </c>
      <c r="F124" s="11" t="inlineStr">
        <is>
          <t>NYI</t>
        </is>
      </c>
      <c r="G124" s="12" t="n">
        <v>-105</v>
      </c>
      <c r="H124" s="14">
        <f>IF(OR(F124="",G124="",AND(I124&lt;&gt;"W",I124&lt;&gt;"L")),"",IF(I124="W",IF(G124&gt;0,G124/100,1),IF(G124&lt;0,G124/100,-1)))</f>
        <v/>
      </c>
      <c r="I124" s="11" t="inlineStr">
        <is>
          <t>L</t>
        </is>
      </c>
      <c r="J124" s="10" t="inlineStr">
        <is>
          <t>LAK 3, NYI 2</t>
        </is>
      </c>
      <c r="K124" s="10" t="inlineStr">
        <is>
          <t>DraftKings at pick time (4:00 PM CT)</t>
        </is>
      </c>
      <c r="L124" s="11" t="inlineStr">
        <is>
          <t>Yes</t>
        </is>
      </c>
    </row>
    <row r="125">
      <c r="A125" s="9" t="n">
        <v>46317</v>
      </c>
      <c r="B125" s="10" t="inlineStr">
        <is>
          <t>VGK @ STL</t>
        </is>
      </c>
      <c r="C125" s="13" t="n">
        <v>58.52</v>
      </c>
      <c r="D125" s="13" t="n">
        <v>71.54000000000001</v>
      </c>
      <c r="E125" s="13">
        <f>IF(OR(C125="",D125=""),"",ABS(C125-D125))</f>
        <v/>
      </c>
      <c r="F125" s="11" t="inlineStr">
        <is>
          <t>STL</t>
        </is>
      </c>
      <c r="G125" s="12" t="n">
        <v>110</v>
      </c>
      <c r="H125" s="14">
        <f>IF(OR(F125="",G125="",AND(I125&lt;&gt;"W",I125&lt;&gt;"L")),"",IF(I125="W",IF(G125&gt;0,G125/100,1),IF(G125&lt;0,G125/100,-1)))</f>
        <v/>
      </c>
      <c r="I125" s="11" t="inlineStr">
        <is>
          <t>W</t>
        </is>
      </c>
      <c r="J125" s="10" t="inlineStr">
        <is>
          <t>VGK 2, STL 6</t>
        </is>
      </c>
      <c r="K125" s="10" t="inlineStr">
        <is>
          <t>DraftKings at pick time (4:00 PM CT)</t>
        </is>
      </c>
      <c r="L125" s="11" t="inlineStr">
        <is>
          <t>Yes</t>
        </is>
      </c>
    </row>
    <row r="126">
      <c r="A126" s="9" t="n">
        <v>46317</v>
      </c>
      <c r="B126" s="10" t="inlineStr">
        <is>
          <t>WPG @ DAL</t>
        </is>
      </c>
      <c r="C126" s="13" t="n">
        <v>68.45999999999999</v>
      </c>
      <c r="D126" s="13" t="n">
        <v>80.22</v>
      </c>
      <c r="E126" s="13">
        <f>IF(OR(C126="",D126=""),"",ABS(C126-D126))</f>
        <v/>
      </c>
      <c r="F126" s="11" t="inlineStr">
        <is>
          <t>DAL</t>
        </is>
      </c>
      <c r="G126" s="12" t="n">
        <v>-205</v>
      </c>
      <c r="H126" s="14">
        <f>IF(OR(F126="",G126="",AND(I126&lt;&gt;"W",I126&lt;&gt;"L")),"",IF(I126="W",IF(G126&gt;0,G126/100,1),IF(G126&lt;0,G126/100,-1)))</f>
        <v/>
      </c>
      <c r="I126" s="11" t="inlineStr">
        <is>
          <t>W</t>
        </is>
      </c>
      <c r="J126" s="10" t="inlineStr">
        <is>
          <t>WPG 2, DAL 3</t>
        </is>
      </c>
      <c r="K126" s="10" t="inlineStr">
        <is>
          <t>DraftKings at pick time (4:00 PM CT)</t>
        </is>
      </c>
      <c r="L126" s="11" t="inlineStr">
        <is>
          <t>No</t>
        </is>
      </c>
    </row>
    <row r="127">
      <c r="A127" s="9" t="n">
        <v>46317</v>
      </c>
      <c r="B127" s="10" t="inlineStr">
        <is>
          <t>MIN @ CGY</t>
        </is>
      </c>
      <c r="C127" s="13" t="n">
        <v>71.28</v>
      </c>
      <c r="D127" s="13" t="n">
        <v>63.1</v>
      </c>
      <c r="E127" s="13">
        <f>IF(OR(C127="",D127=""),"",ABS(C127-D127))</f>
        <v/>
      </c>
      <c r="F127" s="11" t="inlineStr">
        <is>
          <t>MIN</t>
        </is>
      </c>
      <c r="G127" s="12" t="n">
        <v>-205</v>
      </c>
      <c r="H127" s="14">
        <f>IF(OR(F127="",G127="",AND(I127&lt;&gt;"W",I127&lt;&gt;"L")),"",IF(I127="W",IF(G127&gt;0,G127/100,1),IF(G127&lt;0,G127/100,-1)))</f>
        <v/>
      </c>
      <c r="I127" s="11" t="inlineStr">
        <is>
          <t>L</t>
        </is>
      </c>
      <c r="J127" s="10" t="inlineStr">
        <is>
          <t>MIN 1, CGY 2</t>
        </is>
      </c>
      <c r="K127" s="10" t="inlineStr">
        <is>
          <t>DraftKings at pick time (4:00 PM CT)</t>
        </is>
      </c>
      <c r="L127" s="11" t="inlineStr">
        <is>
          <t>No</t>
        </is>
      </c>
    </row>
    <row r="128">
      <c r="A128" s="9" t="n">
        <v>46317</v>
      </c>
      <c r="B128" s="10" t="inlineStr">
        <is>
          <t>CAR @ EDM</t>
        </is>
      </c>
      <c r="C128" s="13" t="n">
        <v>88.15000000000001</v>
      </c>
      <c r="D128" s="13" t="n">
        <v>68.72</v>
      </c>
      <c r="E128" s="13">
        <f>IF(OR(C128="",D128=""),"",ABS(C128-D128))</f>
        <v/>
      </c>
      <c r="F128" s="11" t="inlineStr">
        <is>
          <t>CAR</t>
        </is>
      </c>
      <c r="G128" s="12" t="n">
        <v>-118</v>
      </c>
      <c r="H128" s="14">
        <f>IF(OR(F128="",G128="",AND(I128&lt;&gt;"W",I128&lt;&gt;"L")),"",IF(I128="W",IF(G128&gt;0,G128/100,1),IF(G128&lt;0,G128/100,-1)))</f>
        <v/>
      </c>
      <c r="I128" s="11" t="inlineStr">
        <is>
          <t>L</t>
        </is>
      </c>
      <c r="J128" s="10" t="inlineStr">
        <is>
          <t>CAR 5, EDM 6</t>
        </is>
      </c>
      <c r="K128" s="10" t="inlineStr">
        <is>
          <t>DraftKings at pick time (4:00 PM CT)</t>
        </is>
      </c>
      <c r="L128" s="11" t="inlineStr">
        <is>
          <t>Yes</t>
        </is>
      </c>
    </row>
    <row r="129">
      <c r="A129" s="9" t="n">
        <v>46317</v>
      </c>
      <c r="B129" s="10" t="inlineStr">
        <is>
          <t>UTA @ SEA</t>
        </is>
      </c>
      <c r="C129" s="13" t="n">
        <v>81.09</v>
      </c>
      <c r="D129" s="13" t="n">
        <v>67.88</v>
      </c>
      <c r="E129" s="13">
        <f>IF(OR(C129="",D129=""),"",ABS(C129-D129))</f>
        <v/>
      </c>
      <c r="F129" s="11" t="inlineStr">
        <is>
          <t>UTA</t>
        </is>
      </c>
      <c r="G129" s="12" t="n">
        <v>-170</v>
      </c>
      <c r="H129" s="14">
        <f>IF(OR(F129="",G129="",AND(I129&lt;&gt;"W",I129&lt;&gt;"L")),"",IF(I129="W",IF(G129&gt;0,G129/100,1),IF(G129&lt;0,G129/100,-1)))</f>
        <v/>
      </c>
      <c r="I129" s="11" t="inlineStr">
        <is>
          <t>L</t>
        </is>
      </c>
      <c r="J129" s="10" t="inlineStr">
        <is>
          <t>UTA 3, SEA 5</t>
        </is>
      </c>
      <c r="K129" s="10" t="inlineStr">
        <is>
          <t>DraftKings at pick time (4:00 PM CT)</t>
        </is>
      </c>
      <c r="L129" s="11" t="inlineStr">
        <is>
          <t>Yes</t>
        </is>
      </c>
    </row>
    <row r="130">
      <c r="A130" s="9" t="n">
        <v>46317</v>
      </c>
      <c r="B130" s="10" t="inlineStr">
        <is>
          <t>DET @ VAN</t>
        </is>
      </c>
      <c r="C130" s="13" t="n">
        <v>72.12</v>
      </c>
      <c r="D130" s="13" t="n">
        <v>51.85</v>
      </c>
      <c r="E130" s="13">
        <f>IF(OR(C130="",D130=""),"",ABS(C130-D130))</f>
        <v/>
      </c>
      <c r="F130" s="11" t="inlineStr">
        <is>
          <t>DET</t>
        </is>
      </c>
      <c r="G130" s="12" t="n">
        <v>-170</v>
      </c>
      <c r="H130" s="14">
        <f>IF(OR(F130="",G130="",AND(I130&lt;&gt;"W",I130&lt;&gt;"L")),"",IF(I130="W",IF(G130&gt;0,G130/100,1),IF(G130&lt;0,G130/100,-1)))</f>
        <v/>
      </c>
      <c r="I130" s="11" t="inlineStr">
        <is>
          <t>W</t>
        </is>
      </c>
      <c r="J130" s="10" t="inlineStr">
        <is>
          <t>DET 5, VAN 2</t>
        </is>
      </c>
      <c r="K130" s="10" t="inlineStr">
        <is>
          <t>DraftKings at pick time (4:00 PM CT)</t>
        </is>
      </c>
      <c r="L130" s="11" t="inlineStr">
        <is>
          <t>Yes</t>
        </is>
      </c>
    </row>
    <row r="131">
      <c r="A131" s="9" t="n">
        <v>46318</v>
      </c>
      <c r="B131" s="10" t="inlineStr">
        <is>
          <t>MTL @ CHI</t>
        </is>
      </c>
      <c r="C131" s="13" t="n">
        <v>76.81</v>
      </c>
      <c r="D131" s="13" t="n">
        <v>54.49</v>
      </c>
      <c r="E131" s="13">
        <f>IF(OR(C131="",D131=""),"",ABS(C131-D131))</f>
        <v/>
      </c>
      <c r="F131" s="11" t="inlineStr">
        <is>
          <t>MTL</t>
        </is>
      </c>
      <c r="G131" s="12" t="n"/>
      <c r="H131" s="14">
        <f>IF(OR(F131="",G131="",AND(I131&lt;&gt;"W",I131&lt;&gt;"L")),"",IF(I131="W",IF(G131&gt;0,G131/100,1),IF(G131&lt;0,G131/100,-1)))</f>
        <v/>
      </c>
      <c r="I131" s="11" t="inlineStr">
        <is>
          <t>W</t>
        </is>
      </c>
      <c r="J131" s="10" t="inlineStr">
        <is>
          <t>MTL 4, CHI 1</t>
        </is>
      </c>
      <c r="K131" s="10" t="inlineStr">
        <is>
          <t>no line at pick time</t>
        </is>
      </c>
      <c r="L131" s="11" t="inlineStr">
        <is>
          <t>No</t>
        </is>
      </c>
    </row>
    <row r="132">
      <c r="A132" s="9" t="n">
        <v>46318</v>
      </c>
      <c r="B132" s="10" t="inlineStr">
        <is>
          <t>TBL @ COL</t>
        </is>
      </c>
      <c r="C132" s="13" t="n">
        <v>81.48</v>
      </c>
      <c r="D132" s="13" t="n">
        <v>69.5</v>
      </c>
      <c r="E132" s="13">
        <f>IF(OR(C132="",D132=""),"",ABS(C132-D132))</f>
        <v/>
      </c>
      <c r="F132" s="11" t="inlineStr">
        <is>
          <t>TBL</t>
        </is>
      </c>
      <c r="G132" s="12" t="n"/>
      <c r="H132" s="14">
        <f>IF(OR(F132="",G132="",AND(I132&lt;&gt;"W",I132&lt;&gt;"L")),"",IF(I132="W",IF(G132&gt;0,G132/100,1),IF(G132&lt;0,G132/100,-1)))</f>
        <v/>
      </c>
      <c r="I132" s="11" t="inlineStr">
        <is>
          <t>L</t>
        </is>
      </c>
      <c r="J132" s="10" t="inlineStr">
        <is>
          <t>TBL 3, COL 6</t>
        </is>
      </c>
      <c r="K132" s="10" t="inlineStr">
        <is>
          <t>no line at pick time</t>
        </is>
      </c>
      <c r="L132" s="11" t="inlineStr">
        <is>
          <t>No</t>
        </is>
      </c>
    </row>
    <row r="133">
      <c r="A133" s="9" t="n">
        <v>46319</v>
      </c>
      <c r="B133" s="10" t="inlineStr">
        <is>
          <t>ANA @ PHI</t>
        </is>
      </c>
      <c r="C133" s="13" t="n">
        <v>59.46</v>
      </c>
      <c r="D133" s="13" t="n">
        <v>76.19</v>
      </c>
      <c r="E133" s="13">
        <f>IF(OR(C133="",D133=""),"",ABS(C133-D133))</f>
        <v/>
      </c>
      <c r="F133" s="11" t="inlineStr">
        <is>
          <t>PHI</t>
        </is>
      </c>
      <c r="G133" s="12" t="n">
        <v>-122</v>
      </c>
      <c r="H133" s="14">
        <f>IF(OR(F133="",G133="",AND(I133&lt;&gt;"W",I133&lt;&gt;"L")),"",IF(I133="W",IF(G133&gt;0,G133/100,1),IF(G133&lt;0,G133/100,-1)))</f>
        <v/>
      </c>
      <c r="I133" s="11" t="inlineStr">
        <is>
          <t>L</t>
        </is>
      </c>
      <c r="J133" s="10" t="inlineStr">
        <is>
          <t>ANA 5, PHI 4</t>
        </is>
      </c>
      <c r="K133" s="10" t="inlineStr">
        <is>
          <t>DraftKings at pick time (10:00 AM CT)</t>
        </is>
      </c>
      <c r="L133" s="11" t="inlineStr">
        <is>
          <t>Yes</t>
        </is>
      </c>
    </row>
    <row r="134">
      <c r="A134" s="9" t="n">
        <v>46319</v>
      </c>
      <c r="B134" s="10" t="inlineStr">
        <is>
          <t>LAK @ NJD</t>
        </is>
      </c>
      <c r="C134" s="13" t="n">
        <v>71.5</v>
      </c>
      <c r="D134" s="13" t="n">
        <v>80.54000000000001</v>
      </c>
      <c r="E134" s="13">
        <f>IF(OR(C134="",D134=""),"",ABS(C134-D134))</f>
        <v/>
      </c>
      <c r="F134" s="11" t="inlineStr">
        <is>
          <t>NJD</t>
        </is>
      </c>
      <c r="G134" s="12" t="n">
        <v>-192</v>
      </c>
      <c r="H134" s="14">
        <f>IF(OR(F134="",G134="",AND(I134&lt;&gt;"W",I134&lt;&gt;"L")),"",IF(I134="W",IF(G134&gt;0,G134/100,1),IF(G134&lt;0,G134/100,-1)))</f>
        <v/>
      </c>
      <c r="I134" s="11" t="inlineStr">
        <is>
          <t>W</t>
        </is>
      </c>
      <c r="J134" s="10" t="inlineStr">
        <is>
          <t>LAK 1, NJD 3</t>
        </is>
      </c>
      <c r="K134" s="10" t="inlineStr">
        <is>
          <t>DraftKings at pick time (10:00 AM CT)</t>
        </is>
      </c>
      <c r="L134" s="11" t="inlineStr">
        <is>
          <t>Yes</t>
        </is>
      </c>
    </row>
    <row r="135">
      <c r="A135" s="9" t="n">
        <v>46319</v>
      </c>
      <c r="B135" s="10" t="inlineStr">
        <is>
          <t>SJS @ BOS</t>
        </is>
      </c>
      <c r="C135" s="13" t="n">
        <v>64.26000000000001</v>
      </c>
      <c r="D135" s="13" t="n">
        <v>91.76000000000001</v>
      </c>
      <c r="E135" s="13">
        <f>IF(OR(C135="",D135=""),"",ABS(C135-D135))</f>
        <v/>
      </c>
      <c r="F135" s="11" t="inlineStr">
        <is>
          <t>BOS</t>
        </is>
      </c>
      <c r="G135" s="12" t="n">
        <v>-192</v>
      </c>
      <c r="H135" s="14">
        <f>IF(OR(F135="",G135="",AND(I135&lt;&gt;"W",I135&lt;&gt;"L")),"",IF(I135="W",IF(G135&gt;0,G135/100,1),IF(G135&lt;0,G135/100,-1)))</f>
        <v/>
      </c>
      <c r="I135" s="11" t="inlineStr">
        <is>
          <t>W</t>
        </is>
      </c>
      <c r="J135" s="10" t="inlineStr">
        <is>
          <t>SJS 4, BOS 6</t>
        </is>
      </c>
      <c r="K135" s="10" t="inlineStr">
        <is>
          <t>DraftKings at pick time (10:00 AM CT)</t>
        </is>
      </c>
      <c r="L135" s="11" t="inlineStr">
        <is>
          <t>No</t>
        </is>
      </c>
    </row>
    <row r="136">
      <c r="A136" s="9" t="n">
        <v>46319</v>
      </c>
      <c r="B136" s="10" t="inlineStr">
        <is>
          <t>NYR @ OTT</t>
        </is>
      </c>
      <c r="C136" s="13" t="n">
        <v>64.12</v>
      </c>
      <c r="D136" s="13" t="n">
        <v>75.73999999999999</v>
      </c>
      <c r="E136" s="13">
        <f>IF(OR(C136="",D136=""),"",ABS(C136-D136))</f>
        <v/>
      </c>
      <c r="F136" s="11" t="inlineStr">
        <is>
          <t>OTT</t>
        </is>
      </c>
      <c r="G136" s="12" t="n">
        <v>-125</v>
      </c>
      <c r="H136" s="14">
        <f>IF(OR(F136="",G136="",AND(I136&lt;&gt;"W",I136&lt;&gt;"L")),"",IF(I136="W",IF(G136&gt;0,G136/100,1),IF(G136&lt;0,G136/100,-1)))</f>
        <v/>
      </c>
      <c r="I136" s="11" t="inlineStr">
        <is>
          <t>W</t>
        </is>
      </c>
      <c r="J136" s="10" t="inlineStr">
        <is>
          <t>NYR 4, OTT 7</t>
        </is>
      </c>
      <c r="K136" s="10" t="inlineStr">
        <is>
          <t>DraftKings at pick time (10:00 AM CT)</t>
        </is>
      </c>
      <c r="L136" s="11" t="inlineStr">
        <is>
          <t>Yes</t>
        </is>
      </c>
    </row>
    <row r="137">
      <c r="A137" s="9" t="n">
        <v>46319</v>
      </c>
      <c r="B137" s="10" t="inlineStr">
        <is>
          <t>NSH @ PIT</t>
        </is>
      </c>
      <c r="C137" s="13" t="n">
        <v>48.24</v>
      </c>
      <c r="D137" s="13" t="n">
        <v>79.58</v>
      </c>
      <c r="E137" s="13">
        <f>IF(OR(C137="",D137=""),"",ABS(C137-D137))</f>
        <v/>
      </c>
      <c r="F137" s="11" t="inlineStr">
        <is>
          <t>PIT</t>
        </is>
      </c>
      <c r="G137" s="12" t="n">
        <v>-142</v>
      </c>
      <c r="H137" s="14">
        <f>IF(OR(F137="",G137="",AND(I137&lt;&gt;"W",I137&lt;&gt;"L")),"",IF(I137="W",IF(G137&gt;0,G137/100,1),IF(G137&lt;0,G137/100,-1)))</f>
        <v/>
      </c>
      <c r="I137" s="11" t="inlineStr">
        <is>
          <t>W</t>
        </is>
      </c>
      <c r="J137" s="10" t="inlineStr">
        <is>
          <t>NSH 2, PIT 3</t>
        </is>
      </c>
      <c r="K137" s="10" t="inlineStr">
        <is>
          <t>DraftKings at pick time (10:00 AM CT)</t>
        </is>
      </c>
      <c r="L137" s="11" t="inlineStr">
        <is>
          <t>No</t>
        </is>
      </c>
    </row>
    <row r="138">
      <c r="A138" s="9" t="n">
        <v>46319</v>
      </c>
      <c r="B138" s="10" t="inlineStr">
        <is>
          <t>BUF @ WSH</t>
        </is>
      </c>
      <c r="C138" s="13" t="n">
        <v>63.81</v>
      </c>
      <c r="D138" s="13" t="n">
        <v>71.28</v>
      </c>
      <c r="E138" s="13">
        <f>IF(OR(C138="",D138=""),"",ABS(C138-D138))</f>
        <v/>
      </c>
      <c r="F138" s="11" t="inlineStr">
        <is>
          <t>WSH</t>
        </is>
      </c>
      <c r="G138" s="12" t="n">
        <v>-125</v>
      </c>
      <c r="H138" s="14">
        <f>IF(OR(F138="",G138="",AND(I138&lt;&gt;"W",I138&lt;&gt;"L")),"",IF(I138="W",IF(G138&gt;0,G138/100,1),IF(G138&lt;0,G138/100,-1)))</f>
        <v/>
      </c>
      <c r="I138" s="11" t="inlineStr">
        <is>
          <t>W</t>
        </is>
      </c>
      <c r="J138" s="10" t="inlineStr">
        <is>
          <t>BUF 3, WSH 4</t>
        </is>
      </c>
      <c r="K138" s="10" t="inlineStr">
        <is>
          <t>DraftKings at pick time (10:00 AM CT)</t>
        </is>
      </c>
      <c r="L138" s="11" t="inlineStr">
        <is>
          <t>Yes</t>
        </is>
      </c>
    </row>
    <row r="139">
      <c r="A139" s="9" t="n">
        <v>46319</v>
      </c>
      <c r="B139" s="10" t="inlineStr">
        <is>
          <t>VGK @ CBJ</t>
        </is>
      </c>
      <c r="C139" s="13" t="n">
        <v>60.92</v>
      </c>
      <c r="D139" s="13" t="n">
        <v>63.32</v>
      </c>
      <c r="E139" s="13">
        <f>IF(OR(C139="",D139=""),"",ABS(C139-D139))</f>
        <v/>
      </c>
      <c r="F139" s="11" t="inlineStr">
        <is>
          <t>CBJ</t>
        </is>
      </c>
      <c r="G139" s="12" t="n">
        <v>120</v>
      </c>
      <c r="H139" s="14">
        <f>IF(OR(F139="",G139="",AND(I139&lt;&gt;"W",I139&lt;&gt;"L")),"",IF(I139="W",IF(G139&gt;0,G139/100,1),IF(G139&lt;0,G139/100,-1)))</f>
        <v/>
      </c>
      <c r="I139" s="11" t="inlineStr">
        <is>
          <t>W</t>
        </is>
      </c>
      <c r="J139" s="10" t="inlineStr">
        <is>
          <t>VGK 1, CBJ 2</t>
        </is>
      </c>
      <c r="K139" s="10" t="inlineStr">
        <is>
          <t>DraftKings at pick time (10:00 AM CT)</t>
        </is>
      </c>
      <c r="L139" s="11" t="inlineStr">
        <is>
          <t>No</t>
        </is>
      </c>
    </row>
    <row r="140">
      <c r="A140" s="9" t="n">
        <v>46319</v>
      </c>
      <c r="B140" s="10" t="inlineStr">
        <is>
          <t>CAR @ STL</t>
        </is>
      </c>
      <c r="C140" s="13" t="n">
        <v>74.08</v>
      </c>
      <c r="D140" s="13" t="n">
        <v>79.08</v>
      </c>
      <c r="E140" s="13">
        <f>IF(OR(C140="",D140=""),"",ABS(C140-D140))</f>
        <v/>
      </c>
      <c r="F140" s="11" t="inlineStr">
        <is>
          <t>STL</t>
        </is>
      </c>
      <c r="G140" s="12" t="n">
        <v>130</v>
      </c>
      <c r="H140" s="14">
        <f>IF(OR(F140="",G140="",AND(I140&lt;&gt;"W",I140&lt;&gt;"L")),"",IF(I140="W",IF(G140&gt;0,G140/100,1),IF(G140&lt;0,G140/100,-1)))</f>
        <v/>
      </c>
      <c r="I140" s="11" t="inlineStr">
        <is>
          <t>L</t>
        </is>
      </c>
      <c r="J140" s="10" t="inlineStr">
        <is>
          <t>CAR 4, STL 0</t>
        </is>
      </c>
      <c r="K140" s="10" t="inlineStr">
        <is>
          <t>DraftKings at pick time (10:00 AM CT)</t>
        </is>
      </c>
      <c r="L140" s="11" t="inlineStr">
        <is>
          <t>No</t>
        </is>
      </c>
    </row>
    <row r="141">
      <c r="A141" s="9" t="n">
        <v>46319</v>
      </c>
      <c r="B141" s="10" t="inlineStr">
        <is>
          <t>TOR @ EDM</t>
        </is>
      </c>
      <c r="C141" s="13" t="n">
        <v>75.88</v>
      </c>
      <c r="D141" s="13" t="n">
        <v>65.92</v>
      </c>
      <c r="E141" s="13">
        <f>IF(OR(C141="",D141=""),"",ABS(C141-D141))</f>
        <v/>
      </c>
      <c r="F141" s="11" t="inlineStr">
        <is>
          <t>TOR</t>
        </is>
      </c>
      <c r="G141" s="12" t="n">
        <v>150</v>
      </c>
      <c r="H141" s="14">
        <f>IF(OR(F141="",G141="",AND(I141&lt;&gt;"W",I141&lt;&gt;"L")),"",IF(I141="W",IF(G141&gt;0,G141/100,1),IF(G141&lt;0,G141/100,-1)))</f>
        <v/>
      </c>
      <c r="I141" s="11" t="inlineStr">
        <is>
          <t>W</t>
        </is>
      </c>
      <c r="J141" s="10" t="inlineStr">
        <is>
          <t>TOR 7, EDM 2</t>
        </is>
      </c>
      <c r="K141" s="10" t="inlineStr">
        <is>
          <t>DraftKings at pick time (10:00 AM CT)</t>
        </is>
      </c>
      <c r="L141" s="11" t="inlineStr">
        <is>
          <t>No</t>
        </is>
      </c>
    </row>
    <row r="142">
      <c r="A142" s="9" t="n">
        <v>46319</v>
      </c>
      <c r="B142" s="10" t="inlineStr">
        <is>
          <t>TBL @ UTA</t>
        </is>
      </c>
      <c r="C142" s="13" t="n">
        <v>71.16</v>
      </c>
      <c r="D142" s="13" t="n">
        <v>74.02</v>
      </c>
      <c r="E142" s="13">
        <f>IF(OR(C142="",D142=""),"",ABS(C142-D142))</f>
        <v/>
      </c>
      <c r="F142" s="11" t="inlineStr">
        <is>
          <t>UTA</t>
        </is>
      </c>
      <c r="G142" s="12" t="n">
        <v>-142</v>
      </c>
      <c r="H142" s="14">
        <f>IF(OR(F142="",G142="",AND(I142&lt;&gt;"W",I142&lt;&gt;"L")),"",IF(I142="W",IF(G142&gt;0,G142/100,1),IF(G142&lt;0,G142/100,-1)))</f>
        <v/>
      </c>
      <c r="I142" s="11" t="inlineStr">
        <is>
          <t>W</t>
        </is>
      </c>
      <c r="J142" s="10" t="inlineStr">
        <is>
          <t>TBL 4, UTA 5</t>
        </is>
      </c>
      <c r="K142" s="10" t="inlineStr">
        <is>
          <t>DraftKings at pick time (10:00 AM CT)</t>
        </is>
      </c>
      <c r="L142" s="11" t="inlineStr">
        <is>
          <t>Yes</t>
        </is>
      </c>
    </row>
    <row r="143">
      <c r="A143" s="9" t="n">
        <v>46319</v>
      </c>
      <c r="B143" s="10" t="inlineStr">
        <is>
          <t>DET @ CGY</t>
        </is>
      </c>
      <c r="C143" s="13" t="n">
        <v>93.63</v>
      </c>
      <c r="D143" s="13" t="n">
        <v>66.11</v>
      </c>
      <c r="E143" s="13">
        <f>IF(OR(C143="",D143=""),"",ABS(C143-D143))</f>
        <v/>
      </c>
      <c r="F143" s="11" t="inlineStr">
        <is>
          <t>DET</t>
        </is>
      </c>
      <c r="G143" s="12" t="n">
        <v>-148</v>
      </c>
      <c r="H143" s="14">
        <f>IF(OR(F143="",G143="",AND(I143&lt;&gt;"W",I143&lt;&gt;"L")),"",IF(I143="W",IF(G143&gt;0,G143/100,1),IF(G143&lt;0,G143/100,-1)))</f>
        <v/>
      </c>
      <c r="I143" s="11" t="inlineStr">
        <is>
          <t>L</t>
        </is>
      </c>
      <c r="J143" s="10" t="inlineStr">
        <is>
          <t>DET 1, CGY 4</t>
        </is>
      </c>
      <c r="K143" s="10" t="inlineStr">
        <is>
          <t>DraftKings at pick time (10:00 AM CT)</t>
        </is>
      </c>
      <c r="L143" s="11" t="inlineStr">
        <is>
          <t>No</t>
        </is>
      </c>
    </row>
    <row r="144">
      <c r="A144" s="9" t="n">
        <v>46319</v>
      </c>
      <c r="B144" s="10" t="inlineStr">
        <is>
          <t>MIN @ SEA</t>
        </is>
      </c>
      <c r="C144" s="13" t="n">
        <v>73.89</v>
      </c>
      <c r="D144" s="13" t="n">
        <v>65.98</v>
      </c>
      <c r="E144" s="13">
        <f>IF(OR(C144="",D144=""),"",ABS(C144-D144))</f>
        <v/>
      </c>
      <c r="F144" s="11" t="inlineStr">
        <is>
          <t>MIN</t>
        </is>
      </c>
      <c r="G144" s="12" t="n">
        <v>-155</v>
      </c>
      <c r="H144" s="14">
        <f>IF(OR(F144="",G144="",AND(I144&lt;&gt;"W",I144&lt;&gt;"L")),"",IF(I144="W",IF(G144&gt;0,G144/100,1),IF(G144&lt;0,G144/100,-1)))</f>
        <v/>
      </c>
      <c r="I144" s="11" t="inlineStr">
        <is>
          <t>W</t>
        </is>
      </c>
      <c r="J144" s="10" t="inlineStr">
        <is>
          <t>MIN 5, SEA 1</t>
        </is>
      </c>
      <c r="K144" s="10" t="inlineStr">
        <is>
          <t>DraftKings at pick time (10:00 AM CT)</t>
        </is>
      </c>
      <c r="L144" s="11" t="inlineStr">
        <is>
          <t>Yes</t>
        </is>
      </c>
    </row>
    <row r="145">
      <c r="A145" s="9" t="n">
        <v>46320</v>
      </c>
      <c r="B145" s="10" t="inlineStr">
        <is>
          <t>FLA @ CHI</t>
        </is>
      </c>
      <c r="C145" s="13" t="n">
        <v>60.42</v>
      </c>
      <c r="D145" s="13" t="n">
        <v>57.4</v>
      </c>
      <c r="E145" s="13">
        <f>IF(OR(C145="",D145=""),"",ABS(C145-D145))</f>
        <v/>
      </c>
      <c r="F145" s="11" t="inlineStr">
        <is>
          <t>FLA</t>
        </is>
      </c>
      <c r="G145" s="12" t="n">
        <v>-185</v>
      </c>
      <c r="H145" s="14">
        <f>IF(OR(F145="",G145="",AND(I145&lt;&gt;"W",I145&lt;&gt;"L")),"",IF(I145="W",IF(G145&gt;0,G145/100,1),IF(G145&lt;0,G145/100,-1)))</f>
        <v/>
      </c>
      <c r="I145" s="11" t="inlineStr">
        <is>
          <t>W</t>
        </is>
      </c>
      <c r="J145" s="10" t="inlineStr">
        <is>
          <t>FLA 3, CHI 2</t>
        </is>
      </c>
      <c r="K145" s="10" t="inlineStr">
        <is>
          <t>DraftKings at pick time (12:00 PM CT)</t>
        </is>
      </c>
      <c r="L145" s="11" t="inlineStr">
        <is>
          <t>Yes</t>
        </is>
      </c>
    </row>
    <row r="146">
      <c r="A146" s="9" t="n">
        <v>46320</v>
      </c>
      <c r="B146" s="10" t="inlineStr">
        <is>
          <t>NYI @ DAL</t>
        </is>
      </c>
      <c r="C146" s="13" t="n">
        <v>68.5</v>
      </c>
      <c r="D146" s="13" t="n">
        <v>81.20999999999999</v>
      </c>
      <c r="E146" s="13">
        <f>IF(OR(C146="",D146=""),"",ABS(C146-D146))</f>
        <v/>
      </c>
      <c r="F146" s="11" t="inlineStr">
        <is>
          <t>DAL</t>
        </is>
      </c>
      <c r="G146" s="12" t="n">
        <v>-198</v>
      </c>
      <c r="H146" s="14">
        <f>IF(OR(F146="",G146="",AND(I146&lt;&gt;"W",I146&lt;&gt;"L")),"",IF(I146="W",IF(G146&gt;0,G146/100,1),IF(G146&lt;0,G146/100,-1)))</f>
        <v/>
      </c>
      <c r="I146" s="11" t="inlineStr">
        <is>
          <t>W</t>
        </is>
      </c>
      <c r="J146" s="10" t="inlineStr">
        <is>
          <t>NYI 3, DAL 6</t>
        </is>
      </c>
      <c r="K146" s="10" t="inlineStr">
        <is>
          <t>DraftKings at pick time (12:00 PM CT)</t>
        </is>
      </c>
      <c r="L146" s="11" t="inlineStr">
        <is>
          <t>Yes</t>
        </is>
      </c>
    </row>
    <row r="147">
      <c r="A147" s="9" t="n">
        <v>46320</v>
      </c>
      <c r="B147" s="10" t="inlineStr">
        <is>
          <t>MTL @ WPG</t>
        </is>
      </c>
      <c r="C147" s="13" t="n">
        <v>82.59999999999999</v>
      </c>
      <c r="D147" s="13" t="n">
        <v>58.79</v>
      </c>
      <c r="E147" s="13">
        <f>IF(OR(C147="",D147=""),"",ABS(C147-D147))</f>
        <v/>
      </c>
      <c r="F147" s="11" t="inlineStr">
        <is>
          <t>MTL</t>
        </is>
      </c>
      <c r="G147" s="12" t="n">
        <v>-118</v>
      </c>
      <c r="H147" s="14">
        <f>IF(OR(F147="",G147="",AND(I147&lt;&gt;"W",I147&lt;&gt;"L")),"",IF(I147="W",IF(G147&gt;0,G147/100,1),IF(G147&lt;0,G147/100,-1)))</f>
        <v/>
      </c>
      <c r="I147" s="11" t="inlineStr">
        <is>
          <t>W</t>
        </is>
      </c>
      <c r="J147" s="10" t="inlineStr">
        <is>
          <t>MTL 2, WPG 1</t>
        </is>
      </c>
      <c r="K147" s="10" t="inlineStr">
        <is>
          <t>DraftKings at pick time (12:00 PM CT)</t>
        </is>
      </c>
      <c r="L147" s="11" t="inlineStr">
        <is>
          <t>No</t>
        </is>
      </c>
    </row>
    <row r="148">
      <c r="A148" s="9" t="n">
        <v>46320</v>
      </c>
      <c r="B148" s="10" t="inlineStr">
        <is>
          <t>COL @ NSH</t>
        </is>
      </c>
      <c r="C148" s="13" t="n">
        <v>68.84</v>
      </c>
      <c r="D148" s="13" t="n">
        <v>58.82</v>
      </c>
      <c r="E148" s="13">
        <f>IF(OR(C148="",D148=""),"",ABS(C148-D148))</f>
        <v/>
      </c>
      <c r="F148" s="11" t="inlineStr">
        <is>
          <t>COL</t>
        </is>
      </c>
      <c r="G148" s="12" t="n">
        <v>-230</v>
      </c>
      <c r="H148" s="14">
        <f>IF(OR(F148="",G148="",AND(I148&lt;&gt;"W",I148&lt;&gt;"L")),"",IF(I148="W",IF(G148&gt;0,G148/100,1),IF(G148&lt;0,G148/100,-1)))</f>
        <v/>
      </c>
      <c r="I148" s="11" t="inlineStr">
        <is>
          <t>L</t>
        </is>
      </c>
      <c r="J148" s="10" t="inlineStr">
        <is>
          <t>COL 2, NSH 6</t>
        </is>
      </c>
      <c r="K148" s="10" t="inlineStr">
        <is>
          <t>DraftKings at pick time (12:00 PM CT)</t>
        </is>
      </c>
      <c r="L148" s="11" t="inlineStr">
        <is>
          <t>No</t>
        </is>
      </c>
    </row>
    <row r="149">
      <c r="A149" s="9" t="n">
        <v>46320</v>
      </c>
      <c r="B149" s="10" t="inlineStr">
        <is>
          <t>MIN @ VAN</t>
        </is>
      </c>
      <c r="C149" s="13" t="n">
        <v>90.14</v>
      </c>
      <c r="D149" s="13" t="n">
        <v>46.37</v>
      </c>
      <c r="E149" s="13">
        <f>IF(OR(C149="",D149=""),"",ABS(C149-D149))</f>
        <v/>
      </c>
      <c r="F149" s="11" t="inlineStr">
        <is>
          <t>MIN</t>
        </is>
      </c>
      <c r="G149" s="12" t="n">
        <v>-192</v>
      </c>
      <c r="H149" s="14">
        <f>IF(OR(F149="",G149="",AND(I149&lt;&gt;"W",I149&lt;&gt;"L")),"",IF(I149="W",IF(G149&gt;0,G149/100,1),IF(G149&lt;0,G149/100,-1)))</f>
        <v/>
      </c>
      <c r="I149" s="11" t="inlineStr">
        <is>
          <t>W</t>
        </is>
      </c>
      <c r="J149" s="10" t="inlineStr">
        <is>
          <t>MIN 4, VAN 2</t>
        </is>
      </c>
      <c r="K149" s="10" t="inlineStr">
        <is>
          <t>DraftKings at pick time (12:00 PM CT)</t>
        </is>
      </c>
      <c r="L149" s="11" t="inlineStr">
        <is>
          <t>No</t>
        </is>
      </c>
    </row>
    <row r="150">
      <c r="A150" s="9" t="n">
        <v>46321</v>
      </c>
      <c r="B150" s="10" t="inlineStr">
        <is>
          <t>LAK @ NYR</t>
        </is>
      </c>
      <c r="C150" s="13" t="n">
        <v>58.48</v>
      </c>
      <c r="D150" s="13" t="n">
        <v>71.31</v>
      </c>
      <c r="E150" s="13">
        <f>IF(OR(C150="",D150=""),"",ABS(C150-D150))</f>
        <v/>
      </c>
      <c r="F150" s="11" t="inlineStr">
        <is>
          <t>NYR</t>
        </is>
      </c>
      <c r="G150" s="12" t="n">
        <v>-135</v>
      </c>
      <c r="H150" s="14">
        <f>IF(OR(F150="",G150="",AND(I150&lt;&gt;"W",I150&lt;&gt;"L")),"",IF(I150="W",IF(G150&gt;0,G150/100,1),IF(G150&lt;0,G150/100,-1)))</f>
        <v/>
      </c>
      <c r="I150" s="11" t="inlineStr">
        <is>
          <t>L</t>
        </is>
      </c>
      <c r="J150" s="10" t="inlineStr">
        <is>
          <t>LAK 6, NYR 3</t>
        </is>
      </c>
      <c r="K150" s="10" t="inlineStr">
        <is>
          <t>DraftKings at pick time (4:00 PM CT)</t>
        </is>
      </c>
      <c r="L150" s="11" t="inlineStr">
        <is>
          <t>Yes</t>
        </is>
      </c>
    </row>
    <row r="151">
      <c r="A151" s="9" t="n">
        <v>46321</v>
      </c>
      <c r="B151" s="10" t="inlineStr">
        <is>
          <t>TOR @ CGY</t>
        </is>
      </c>
      <c r="C151" s="13" t="n">
        <v>83.91</v>
      </c>
      <c r="D151" s="13" t="n">
        <v>73.61</v>
      </c>
      <c r="E151" s="13">
        <f>IF(OR(C151="",D151=""),"",ABS(C151-D151))</f>
        <v/>
      </c>
      <c r="F151" s="11" t="inlineStr">
        <is>
          <t>TOR</t>
        </is>
      </c>
      <c r="G151" s="12" t="n">
        <v>-135</v>
      </c>
      <c r="H151" s="14">
        <f>IF(OR(F151="",G151="",AND(I151&lt;&gt;"W",I151&lt;&gt;"L")),"",IF(I151="W",IF(G151&gt;0,G151/100,1),IF(G151&lt;0,G151/100,-1)))</f>
        <v/>
      </c>
      <c r="I151" s="11" t="inlineStr">
        <is>
          <t>L</t>
        </is>
      </c>
      <c r="J151" s="10" t="inlineStr">
        <is>
          <t>TOR 2, CGY 5</t>
        </is>
      </c>
      <c r="K151" s="10" t="inlineStr">
        <is>
          <t>DraftKings at pick time (4:00 PM CT)</t>
        </is>
      </c>
      <c r="L151" s="11" t="inlineStr">
        <is>
          <t>Yes</t>
        </is>
      </c>
    </row>
    <row r="152">
      <c r="A152" s="9" t="n">
        <v>46321</v>
      </c>
      <c r="B152" s="10" t="inlineStr">
        <is>
          <t>DET @ EDM</t>
        </is>
      </c>
      <c r="C152" s="13" t="n">
        <v>66.39</v>
      </c>
      <c r="D152" s="13" t="n">
        <v>56.09</v>
      </c>
      <c r="E152" s="13">
        <f>IF(OR(C152="",D152=""),"",ABS(C152-D152))</f>
        <v/>
      </c>
      <c r="F152" s="11" t="inlineStr">
        <is>
          <t>DET</t>
        </is>
      </c>
      <c r="G152" s="12" t="n">
        <v>150</v>
      </c>
      <c r="H152" s="14">
        <f>IF(OR(F152="",G152="",AND(I152&lt;&gt;"W",I152&lt;&gt;"L")),"",IF(I152="W",IF(G152&gt;0,G152/100,1),IF(G152&lt;0,G152/100,-1)))</f>
        <v/>
      </c>
      <c r="I152" s="11" t="inlineStr">
        <is>
          <t>W</t>
        </is>
      </c>
      <c r="J152" s="10" t="inlineStr">
        <is>
          <t>DET 4, EDM 3</t>
        </is>
      </c>
      <c r="K152" s="10" t="inlineStr">
        <is>
          <t>DraftKings at pick time (4:00 PM CT)</t>
        </is>
      </c>
      <c r="L152" s="11" t="inlineStr">
        <is>
          <t>Yes</t>
        </is>
      </c>
    </row>
    <row r="153">
      <c r="A153" s="9" t="n">
        <v>46322</v>
      </c>
      <c r="B153" s="10" t="inlineStr">
        <is>
          <t>CBJ @ PHI</t>
        </is>
      </c>
      <c r="C153" s="13" t="n">
        <v>71.97</v>
      </c>
      <c r="D153" s="13" t="n">
        <v>65.64</v>
      </c>
      <c r="E153" s="13">
        <f>IF(OR(C153="",D153=""),"",ABS(C153-D153))</f>
        <v/>
      </c>
      <c r="F153" s="11" t="inlineStr">
        <is>
          <t>CBJ</t>
        </is>
      </c>
      <c r="G153" s="12" t="n"/>
      <c r="H153" s="14">
        <f>IF(OR(F153="",G153="",AND(I153&lt;&gt;"W",I153&lt;&gt;"L")),"",IF(I153="W",IF(G153&gt;0,G153/100,1),IF(G153&lt;0,G153/100,-1)))</f>
        <v/>
      </c>
      <c r="I153" s="11" t="inlineStr">
        <is>
          <t>W</t>
        </is>
      </c>
      <c r="J153" s="10" t="inlineStr">
        <is>
          <t>CBJ 4, PHI 3</t>
        </is>
      </c>
      <c r="K153" s="10" t="inlineStr">
        <is>
          <t>no line at pick time</t>
        </is>
      </c>
      <c r="L153" s="11" t="inlineStr">
        <is>
          <t>No</t>
        </is>
      </c>
    </row>
    <row r="154">
      <c r="A154" s="9" t="n">
        <v>46322</v>
      </c>
      <c r="B154" s="10" t="inlineStr">
        <is>
          <t>BOS @ CAR</t>
        </is>
      </c>
      <c r="C154" s="13" t="n">
        <v>83.38</v>
      </c>
      <c r="D154" s="13" t="n">
        <v>90.53</v>
      </c>
      <c r="E154" s="13">
        <f>IF(OR(C154="",D154=""),"",ABS(C154-D154))</f>
        <v/>
      </c>
      <c r="F154" s="11" t="inlineStr">
        <is>
          <t>CAR</t>
        </is>
      </c>
      <c r="G154" s="12" t="n"/>
      <c r="H154" s="14">
        <f>IF(OR(F154="",G154="",AND(I154&lt;&gt;"W",I154&lt;&gt;"L")),"",IF(I154="W",IF(G154&gt;0,G154/100,1),IF(G154&lt;0,G154/100,-1)))</f>
        <v/>
      </c>
      <c r="I154" s="11" t="inlineStr">
        <is>
          <t>W</t>
        </is>
      </c>
      <c r="J154" s="10" t="inlineStr">
        <is>
          <t>BOS 1, CAR 2</t>
        </is>
      </c>
      <c r="K154" s="10" t="inlineStr">
        <is>
          <t>no line at pick time</t>
        </is>
      </c>
      <c r="L154" s="11" t="inlineStr">
        <is>
          <t>No</t>
        </is>
      </c>
    </row>
    <row r="155">
      <c r="A155" s="9" t="n">
        <v>46322</v>
      </c>
      <c r="B155" s="10" t="inlineStr">
        <is>
          <t>LAK @ CHI</t>
        </is>
      </c>
      <c r="C155" s="13" t="n">
        <v>77.3</v>
      </c>
      <c r="D155" s="13" t="n">
        <v>61.34</v>
      </c>
      <c r="E155" s="13">
        <f>IF(OR(C155="",D155=""),"",ABS(C155-D155))</f>
        <v/>
      </c>
      <c r="F155" s="11" t="inlineStr">
        <is>
          <t>LAK</t>
        </is>
      </c>
      <c r="G155" s="12" t="n"/>
      <c r="H155" s="14">
        <f>IF(OR(F155="",G155="",AND(I155&lt;&gt;"W",I155&lt;&gt;"L")),"",IF(I155="W",IF(G155&gt;0,G155/100,1),IF(G155&lt;0,G155/100,-1)))</f>
        <v/>
      </c>
      <c r="I155" s="11" t="inlineStr">
        <is>
          <t>L</t>
        </is>
      </c>
      <c r="J155" s="10" t="inlineStr">
        <is>
          <t>LAK 1, CHI 2</t>
        </is>
      </c>
      <c r="K155" s="10" t="inlineStr">
        <is>
          <t>no line at pick time</t>
        </is>
      </c>
      <c r="L155" s="11" t="inlineStr">
        <is>
          <t>No</t>
        </is>
      </c>
    </row>
    <row r="156">
      <c r="A156" s="9" t="n">
        <v>46322</v>
      </c>
      <c r="B156" s="10" t="inlineStr">
        <is>
          <t>MTL @ STL</t>
        </is>
      </c>
      <c r="C156" s="13" t="n">
        <v>72.45999999999999</v>
      </c>
      <c r="D156" s="13" t="n">
        <v>49.47</v>
      </c>
      <c r="E156" s="13">
        <f>IF(OR(C156="",D156=""),"",ABS(C156-D156))</f>
        <v/>
      </c>
      <c r="F156" s="11" t="inlineStr">
        <is>
          <t>MTL</t>
        </is>
      </c>
      <c r="G156" s="12" t="n"/>
      <c r="H156" s="14">
        <f>IF(OR(F156="",G156="",AND(I156&lt;&gt;"W",I156&lt;&gt;"L")),"",IF(I156="W",IF(G156&gt;0,G156/100,1),IF(G156&lt;0,G156/100,-1)))</f>
        <v/>
      </c>
      <c r="I156" s="11" t="inlineStr">
        <is>
          <t>W</t>
        </is>
      </c>
      <c r="J156" s="10" t="inlineStr">
        <is>
          <t>MTL 2, STL 0</t>
        </is>
      </c>
      <c r="K156" s="10" t="inlineStr">
        <is>
          <t>no line at pick time</t>
        </is>
      </c>
      <c r="L156" s="11" t="inlineStr">
        <is>
          <t>No</t>
        </is>
      </c>
    </row>
    <row r="157">
      <c r="A157" s="9" t="n">
        <v>46322</v>
      </c>
      <c r="B157" s="10" t="inlineStr">
        <is>
          <t>NYI @ NSH</t>
        </is>
      </c>
      <c r="C157" s="13" t="n">
        <v>49.58</v>
      </c>
      <c r="D157" s="13" t="n">
        <v>86.8</v>
      </c>
      <c r="E157" s="13">
        <f>IF(OR(C157="",D157=""),"",ABS(C157-D157))</f>
        <v/>
      </c>
      <c r="F157" s="11" t="inlineStr">
        <is>
          <t>NSH</t>
        </is>
      </c>
      <c r="G157" s="12" t="n"/>
      <c r="H157" s="14">
        <f>IF(OR(F157="",G157="",AND(I157&lt;&gt;"W",I157&lt;&gt;"L")),"",IF(I157="W",IF(G157&gt;0,G157/100,1),IF(G157&lt;0,G157/100,-1)))</f>
        <v/>
      </c>
      <c r="I157" s="11" t="inlineStr">
        <is>
          <t>L</t>
        </is>
      </c>
      <c r="J157" s="10" t="inlineStr">
        <is>
          <t>NYI 4, NSH 3</t>
        </is>
      </c>
      <c r="K157" s="10" t="inlineStr">
        <is>
          <t>no line at pick time</t>
        </is>
      </c>
      <c r="L157" s="11" t="inlineStr">
        <is>
          <t>No</t>
        </is>
      </c>
    </row>
    <row r="158">
      <c r="A158" s="9" t="n">
        <v>46322</v>
      </c>
      <c r="B158" s="10" t="inlineStr">
        <is>
          <t>NJD @ DAL</t>
        </is>
      </c>
      <c r="C158" s="13" t="n">
        <v>81.52</v>
      </c>
      <c r="D158" s="13" t="n">
        <v>90.42</v>
      </c>
      <c r="E158" s="13">
        <f>IF(OR(C158="",D158=""),"",ABS(C158-D158))</f>
        <v/>
      </c>
      <c r="F158" s="11" t="inlineStr">
        <is>
          <t>DAL</t>
        </is>
      </c>
      <c r="G158" s="12" t="n"/>
      <c r="H158" s="14">
        <f>IF(OR(F158="",G158="",AND(I158&lt;&gt;"W",I158&lt;&gt;"L")),"",IF(I158="W",IF(G158&gt;0,G158/100,1),IF(G158&lt;0,G158/100,-1)))</f>
        <v/>
      </c>
      <c r="I158" s="11" t="inlineStr">
        <is>
          <t>L</t>
        </is>
      </c>
      <c r="J158" s="10" t="inlineStr">
        <is>
          <t>NJD 5, DAL 1</t>
        </is>
      </c>
      <c r="K158" s="10" t="inlineStr">
        <is>
          <t>no line at pick time</t>
        </is>
      </c>
      <c r="L158" s="11" t="inlineStr">
        <is>
          <t>No</t>
        </is>
      </c>
    </row>
    <row r="159">
      <c r="A159" s="9" t="n">
        <v>46322</v>
      </c>
      <c r="B159" s="10" t="inlineStr">
        <is>
          <t>FLA @ WPG</t>
        </is>
      </c>
      <c r="C159" s="13" t="n">
        <v>78.66</v>
      </c>
      <c r="D159" s="13" t="n">
        <v>67.54000000000001</v>
      </c>
      <c r="E159" s="13">
        <f>IF(OR(C159="",D159=""),"",ABS(C159-D159))</f>
        <v/>
      </c>
      <c r="F159" s="11" t="inlineStr">
        <is>
          <t>FLA</t>
        </is>
      </c>
      <c r="G159" s="12" t="n"/>
      <c r="H159" s="14">
        <f>IF(OR(F159="",G159="",AND(I159&lt;&gt;"W",I159&lt;&gt;"L")),"",IF(I159="W",IF(G159&gt;0,G159/100,1),IF(G159&lt;0,G159/100,-1)))</f>
        <v/>
      </c>
      <c r="I159" s="11" t="inlineStr">
        <is>
          <t>W</t>
        </is>
      </c>
      <c r="J159" s="10" t="inlineStr">
        <is>
          <t>FLA 5, WPG 1</t>
        </is>
      </c>
      <c r="K159" s="10" t="inlineStr">
        <is>
          <t>no line at pick time</t>
        </is>
      </c>
      <c r="L159" s="11" t="inlineStr">
        <is>
          <t>No</t>
        </is>
      </c>
    </row>
    <row r="160">
      <c r="A160" s="9" t="n">
        <v>46322</v>
      </c>
      <c r="B160" s="10" t="inlineStr">
        <is>
          <t>MIN @ UTA</t>
        </is>
      </c>
      <c r="C160" s="13" t="n">
        <v>88.37</v>
      </c>
      <c r="D160" s="13" t="n">
        <v>72.31</v>
      </c>
      <c r="E160" s="13">
        <f>IF(OR(C160="",D160=""),"",ABS(C160-D160))</f>
        <v/>
      </c>
      <c r="F160" s="11" t="inlineStr">
        <is>
          <t>MIN</t>
        </is>
      </c>
      <c r="G160" s="12" t="n"/>
      <c r="H160" s="14">
        <f>IF(OR(F160="",G160="",AND(I160&lt;&gt;"W",I160&lt;&gt;"L")),"",IF(I160="W",IF(G160&gt;0,G160/100,1),IF(G160&lt;0,G160/100,-1)))</f>
        <v/>
      </c>
      <c r="I160" s="11" t="inlineStr">
        <is>
          <t>W</t>
        </is>
      </c>
      <c r="J160" s="10" t="inlineStr">
        <is>
          <t>MIN 3, UTA 1</t>
        </is>
      </c>
      <c r="K160" s="10" t="inlineStr">
        <is>
          <t>no line at pick time</t>
        </is>
      </c>
      <c r="L160" s="11" t="inlineStr">
        <is>
          <t>No</t>
        </is>
      </c>
    </row>
    <row r="161">
      <c r="A161" s="9" t="n">
        <v>46322</v>
      </c>
      <c r="B161" s="10" t="inlineStr">
        <is>
          <t>OTT @ VGK</t>
        </is>
      </c>
      <c r="C161" s="13" t="n">
        <v>68.69</v>
      </c>
      <c r="D161" s="13" t="n">
        <v>68.03</v>
      </c>
      <c r="E161" s="13">
        <f>IF(OR(C161="",D161=""),"",ABS(C161-D161))</f>
        <v/>
      </c>
      <c r="F161" s="11" t="inlineStr">
        <is>
          <t>OTT</t>
        </is>
      </c>
      <c r="G161" s="12" t="n"/>
      <c r="H161" s="14">
        <f>IF(OR(F161="",G161="",AND(I161&lt;&gt;"W",I161&lt;&gt;"L")),"",IF(I161="W",IF(G161&gt;0,G161/100,1),IF(G161&lt;0,G161/100,-1)))</f>
        <v/>
      </c>
      <c r="I161" s="11" t="inlineStr">
        <is>
          <t>L</t>
        </is>
      </c>
      <c r="J161" s="10" t="inlineStr">
        <is>
          <t>OTT 1, VGK 4</t>
        </is>
      </c>
      <c r="K161" s="10" t="inlineStr">
        <is>
          <t>no line at pick time</t>
        </is>
      </c>
      <c r="L161" s="11" t="inlineStr">
        <is>
          <t>No</t>
        </is>
      </c>
    </row>
    <row r="162">
      <c r="A162" s="9" t="n">
        <v>46322</v>
      </c>
      <c r="B162" s="10" t="inlineStr">
        <is>
          <t>VAN @ ANA</t>
        </is>
      </c>
      <c r="C162" s="13" t="n">
        <v>51.63</v>
      </c>
      <c r="D162" s="13" t="n">
        <v>74.36</v>
      </c>
      <c r="E162" s="13">
        <f>IF(OR(C162="",D162=""),"",ABS(C162-D162))</f>
        <v/>
      </c>
      <c r="F162" s="11" t="inlineStr">
        <is>
          <t>ANA</t>
        </is>
      </c>
      <c r="G162" s="12" t="n"/>
      <c r="H162" s="14">
        <f>IF(OR(F162="",G162="",AND(I162&lt;&gt;"W",I162&lt;&gt;"L")),"",IF(I162="W",IF(G162&gt;0,G162/100,1),IF(G162&lt;0,G162/100,-1)))</f>
        <v/>
      </c>
      <c r="I162" s="11" t="inlineStr">
        <is>
          <t>L</t>
        </is>
      </c>
      <c r="J162" s="10" t="inlineStr">
        <is>
          <t>VAN 6, ANA 5</t>
        </is>
      </c>
      <c r="K162" s="10" t="inlineStr">
        <is>
          <t>no line at pick time</t>
        </is>
      </c>
      <c r="L162" s="11" t="inlineStr">
        <is>
          <t>No</t>
        </is>
      </c>
    </row>
    <row r="163">
      <c r="A163" s="9" t="n">
        <v>46322</v>
      </c>
      <c r="B163" s="10" t="inlineStr">
        <is>
          <t>BUF @ SJS</t>
        </is>
      </c>
      <c r="C163" s="13" t="n">
        <v>63.39</v>
      </c>
      <c r="D163" s="13" t="n">
        <v>56.62</v>
      </c>
      <c r="E163" s="13">
        <f>IF(OR(C163="",D163=""),"",ABS(C163-D163))</f>
        <v/>
      </c>
      <c r="F163" s="11" t="inlineStr">
        <is>
          <t>BUF</t>
        </is>
      </c>
      <c r="G163" s="12" t="n"/>
      <c r="H163" s="14">
        <f>IF(OR(F163="",G163="",AND(I163&lt;&gt;"W",I163&lt;&gt;"L")),"",IF(I163="W",IF(G163&gt;0,G163/100,1),IF(G163&lt;0,G163/100,-1)))</f>
        <v/>
      </c>
      <c r="I163" s="11" t="inlineStr">
        <is>
          <t>W</t>
        </is>
      </c>
      <c r="J163" s="10" t="inlineStr">
        <is>
          <t>BUF 2, SJS 0</t>
        </is>
      </c>
      <c r="K163" s="10" t="inlineStr">
        <is>
          <t>no line at pick time</t>
        </is>
      </c>
      <c r="L163" s="11" t="inlineStr">
        <is>
          <t>No</t>
        </is>
      </c>
    </row>
    <row r="164">
      <c r="A164" s="9" t="n">
        <v>46323</v>
      </c>
      <c r="B164" s="10" t="inlineStr">
        <is>
          <t>PHI @ WSH</t>
        </is>
      </c>
      <c r="C164" s="13" t="n">
        <v>75.98999999999999</v>
      </c>
      <c r="D164" s="13" t="n">
        <v>76.61</v>
      </c>
      <c r="E164" s="13">
        <f>IF(OR(C164="",D164=""),"",ABS(C164-D164))</f>
        <v/>
      </c>
      <c r="F164" s="11" t="inlineStr">
        <is>
          <t>WSH</t>
        </is>
      </c>
      <c r="G164" s="12" t="n">
        <v>-245</v>
      </c>
      <c r="H164" s="14">
        <f>IF(OR(F164="",G164="",AND(I164&lt;&gt;"W",I164&lt;&gt;"L")),"",IF(I164="W",IF(G164&gt;0,G164/100,1),IF(G164&lt;0,G164/100,-1)))</f>
        <v/>
      </c>
      <c r="I164" s="11" t="inlineStr">
        <is>
          <t>W</t>
        </is>
      </c>
      <c r="J164" s="10" t="inlineStr">
        <is>
          <t>PHI 2, WSH 5</t>
        </is>
      </c>
      <c r="K164" s="10" t="inlineStr">
        <is>
          <t>DraftKings at pick time (4:30 PM CT)</t>
        </is>
      </c>
      <c r="L164" s="11" t="inlineStr">
        <is>
          <t>No</t>
        </is>
      </c>
    </row>
    <row r="165">
      <c r="A165" s="9" t="n">
        <v>46323</v>
      </c>
      <c r="B165" s="10" t="inlineStr">
        <is>
          <t>CGY @ EDM</t>
        </is>
      </c>
      <c r="C165" s="13" t="n">
        <v>82.02</v>
      </c>
      <c r="D165" s="13" t="n">
        <v>70.36</v>
      </c>
      <c r="E165" s="13">
        <f>IF(OR(C165="",D165=""),"",ABS(C165-D165))</f>
        <v/>
      </c>
      <c r="F165" s="11" t="inlineStr">
        <is>
          <t>CGY</t>
        </is>
      </c>
      <c r="G165" s="12" t="n">
        <v>150</v>
      </c>
      <c r="H165" s="14">
        <f>IF(OR(F165="",G165="",AND(I165&lt;&gt;"W",I165&lt;&gt;"L")),"",IF(I165="W",IF(G165&gt;0,G165/100,1),IF(G165&lt;0,G165/100,-1)))</f>
        <v/>
      </c>
      <c r="I165" s="11" t="inlineStr">
        <is>
          <t>L</t>
        </is>
      </c>
      <c r="J165" s="10" t="inlineStr">
        <is>
          <t>CGY 0, EDM 4</t>
        </is>
      </c>
      <c r="K165" s="10" t="inlineStr">
        <is>
          <t>DraftKings at pick time (4:30 PM CT)</t>
        </is>
      </c>
      <c r="L165" s="11" t="inlineStr">
        <is>
          <t>Yes</t>
        </is>
      </c>
    </row>
    <row r="166">
      <c r="A166" s="9" t="n">
        <v>46323</v>
      </c>
      <c r="B166" s="10" t="inlineStr">
        <is>
          <t>NJD @ COL</t>
        </is>
      </c>
      <c r="C166" s="13" t="n">
        <v>87.98</v>
      </c>
      <c r="D166" s="13" t="n">
        <v>53.2</v>
      </c>
      <c r="E166" s="13">
        <f>IF(OR(C166="",D166=""),"",ABS(C166-D166))</f>
        <v/>
      </c>
      <c r="F166" s="11" t="inlineStr">
        <is>
          <t>NJD</t>
        </is>
      </c>
      <c r="G166" s="12" t="n">
        <v>124</v>
      </c>
      <c r="H166" s="14">
        <f>IF(OR(F166="",G166="",AND(I166&lt;&gt;"W",I166&lt;&gt;"L")),"",IF(I166="W",IF(G166&gt;0,G166/100,1),IF(G166&lt;0,G166/100,-1)))</f>
        <v/>
      </c>
      <c r="I166" s="11" t="inlineStr">
        <is>
          <t>L</t>
        </is>
      </c>
      <c r="J166" s="10" t="inlineStr">
        <is>
          <t>NJD 2, COL 5</t>
        </is>
      </c>
      <c r="K166" s="10" t="inlineStr">
        <is>
          <t>DraftKings at pick time (4:30 PM CT)</t>
        </is>
      </c>
      <c r="L166" s="11" t="inlineStr">
        <is>
          <t>No</t>
        </is>
      </c>
    </row>
    <row r="167">
      <c r="A167" s="9" t="n">
        <v>46323</v>
      </c>
      <c r="B167" s="10" t="inlineStr">
        <is>
          <t>TOR @ SEA</t>
        </is>
      </c>
      <c r="C167" s="13" t="n">
        <v>57.98</v>
      </c>
      <c r="D167" s="13" t="n">
        <v>49.86</v>
      </c>
      <c r="E167" s="13">
        <f>IF(OR(C167="",D167=""),"",ABS(C167-D167))</f>
        <v/>
      </c>
      <c r="F167" s="11" t="inlineStr">
        <is>
          <t>TOR</t>
        </is>
      </c>
      <c r="G167" s="12" t="n">
        <v>-135</v>
      </c>
      <c r="H167" s="14">
        <f>IF(OR(F167="",G167="",AND(I167&lt;&gt;"W",I167&lt;&gt;"L")),"",IF(I167="W",IF(G167&gt;0,G167/100,1),IF(G167&lt;0,G167/100,-1)))</f>
        <v/>
      </c>
      <c r="I167" s="11" t="inlineStr">
        <is>
          <t>L</t>
        </is>
      </c>
      <c r="J167" s="10" t="inlineStr">
        <is>
          <t>TOR 4, SEA 5</t>
        </is>
      </c>
      <c r="K167" s="10" t="inlineStr">
        <is>
          <t>DraftKings at pick time (4:30 PM CT)</t>
        </is>
      </c>
      <c r="L167" s="11" t="inlineStr">
        <is>
          <t>Yes</t>
        </is>
      </c>
    </row>
    <row r="168">
      <c r="A168" s="9" t="n">
        <v>46324</v>
      </c>
      <c r="B168" s="10" t="inlineStr">
        <is>
          <t>WPG @ TBL</t>
        </is>
      </c>
      <c r="C168" s="13" t="n">
        <v>59.07</v>
      </c>
      <c r="D168" s="13" t="n">
        <v>67.69</v>
      </c>
      <c r="E168" s="13">
        <f>IF(OR(C168="",D168=""),"",ABS(C168-D168))</f>
        <v/>
      </c>
      <c r="F168" s="11" t="inlineStr">
        <is>
          <t>TBL</t>
        </is>
      </c>
      <c r="G168" s="12" t="n">
        <v>-218</v>
      </c>
      <c r="H168" s="14">
        <f>IF(OR(F168="",G168="",AND(I168&lt;&gt;"W",I168&lt;&gt;"L")),"",IF(I168="W",IF(G168&gt;0,G168/100,1),IF(G168&lt;0,G168/100,-1)))</f>
        <v/>
      </c>
      <c r="I168" s="11" t="inlineStr">
        <is>
          <t>W</t>
        </is>
      </c>
      <c r="J168" s="10" t="inlineStr">
        <is>
          <t>WPG 4, TBL 6</t>
        </is>
      </c>
      <c r="K168" s="10" t="inlineStr">
        <is>
          <t>DraftKings at pick time (4:00 PM CT)</t>
        </is>
      </c>
      <c r="L168" s="11" t="inlineStr">
        <is>
          <t>No</t>
        </is>
      </c>
    </row>
    <row r="169">
      <c r="A169" s="9" t="n">
        <v>46324</v>
      </c>
      <c r="B169" s="10" t="inlineStr">
        <is>
          <t>UTA @ PIT</t>
        </is>
      </c>
      <c r="C169" s="13" t="n">
        <v>62.85</v>
      </c>
      <c r="D169" s="13" t="n">
        <v>81.18000000000001</v>
      </c>
      <c r="E169" s="13">
        <f>IF(OR(C169="",D169=""),"",ABS(C169-D169))</f>
        <v/>
      </c>
      <c r="F169" s="11" t="inlineStr">
        <is>
          <t>PIT</t>
        </is>
      </c>
      <c r="G169" s="12" t="n">
        <v>114</v>
      </c>
      <c r="H169" s="14">
        <f>IF(OR(F169="",G169="",AND(I169&lt;&gt;"W",I169&lt;&gt;"L")),"",IF(I169="W",IF(G169&gt;0,G169/100,1),IF(G169&lt;0,G169/100,-1)))</f>
        <v/>
      </c>
      <c r="I169" s="11" t="inlineStr">
        <is>
          <t>L</t>
        </is>
      </c>
      <c r="J169" s="10" t="inlineStr">
        <is>
          <t>UTA 4, PIT 3</t>
        </is>
      </c>
      <c r="K169" s="10" t="inlineStr">
        <is>
          <t>DraftKings at pick time (4:00 PM CT)</t>
        </is>
      </c>
      <c r="L169" s="11" t="inlineStr">
        <is>
          <t>No</t>
        </is>
      </c>
    </row>
    <row r="170">
      <c r="A170" s="9" t="n">
        <v>46324</v>
      </c>
      <c r="B170" s="10" t="inlineStr">
        <is>
          <t>CBJ @ CAR</t>
        </is>
      </c>
      <c r="C170" s="13" t="n">
        <v>64.01000000000001</v>
      </c>
      <c r="D170" s="13" t="n">
        <v>84.23999999999999</v>
      </c>
      <c r="E170" s="13">
        <f>IF(OR(C170="",D170=""),"",ABS(C170-D170))</f>
        <v/>
      </c>
      <c r="F170" s="11" t="inlineStr">
        <is>
          <t>CAR</t>
        </is>
      </c>
      <c r="G170" s="12" t="n">
        <v>-258</v>
      </c>
      <c r="H170" s="14">
        <f>IF(OR(F170="",G170="",AND(I170&lt;&gt;"W",I170&lt;&gt;"L")),"",IF(I170="W",IF(G170&gt;0,G170/100,1),IF(G170&lt;0,G170/100,-1)))</f>
        <v/>
      </c>
      <c r="I170" s="11" t="inlineStr">
        <is>
          <t>W</t>
        </is>
      </c>
      <c r="J170" s="10" t="inlineStr">
        <is>
          <t>CBJ 2, CAR 3</t>
        </is>
      </c>
      <c r="K170" s="10" t="inlineStr">
        <is>
          <t>DraftKings at pick time (4:00 PM CT)</t>
        </is>
      </c>
      <c r="L170" s="11" t="inlineStr">
        <is>
          <t>No</t>
        </is>
      </c>
    </row>
    <row r="171">
      <c r="A171" s="9" t="n">
        <v>46324</v>
      </c>
      <c r="B171" s="10" t="inlineStr">
        <is>
          <t>CHI @ DET</t>
        </is>
      </c>
      <c r="C171" s="13" t="n">
        <v>75.69</v>
      </c>
      <c r="D171" s="13" t="n">
        <v>69.64</v>
      </c>
      <c r="E171" s="13">
        <f>IF(OR(C171="",D171=""),"",ABS(C171-D171))</f>
        <v/>
      </c>
      <c r="F171" s="11" t="inlineStr">
        <is>
          <t>CHI</t>
        </is>
      </c>
      <c r="G171" s="12" t="n">
        <v>136</v>
      </c>
      <c r="H171" s="14">
        <f>IF(OR(F171="",G171="",AND(I171&lt;&gt;"W",I171&lt;&gt;"L")),"",IF(I171="W",IF(G171&gt;0,G171/100,1),IF(G171&lt;0,G171/100,-1)))</f>
        <v/>
      </c>
      <c r="I171" s="11" t="inlineStr">
        <is>
          <t>L</t>
        </is>
      </c>
      <c r="J171" s="10" t="inlineStr">
        <is>
          <t>CHI 1, DET 4</t>
        </is>
      </c>
      <c r="K171" s="10" t="inlineStr">
        <is>
          <t>DraftKings at pick time (4:00 PM CT)</t>
        </is>
      </c>
      <c r="L171" s="11" t="inlineStr">
        <is>
          <t>Yes</t>
        </is>
      </c>
    </row>
    <row r="172">
      <c r="A172" s="9" t="n">
        <v>46324</v>
      </c>
      <c r="B172" s="10" t="inlineStr">
        <is>
          <t>BOS @ STL</t>
        </is>
      </c>
      <c r="C172" s="13" t="n">
        <v>55.76</v>
      </c>
      <c r="D172" s="13" t="n">
        <v>72.7</v>
      </c>
      <c r="E172" s="13">
        <f>IF(OR(C172="",D172=""),"",ABS(C172-D172))</f>
        <v/>
      </c>
      <c r="F172" s="11" t="inlineStr">
        <is>
          <t>STL</t>
        </is>
      </c>
      <c r="G172" s="12" t="n">
        <v>-115</v>
      </c>
      <c r="H172" s="14">
        <f>IF(OR(F172="",G172="",AND(I172&lt;&gt;"W",I172&lt;&gt;"L")),"",IF(I172="W",IF(G172&gt;0,G172/100,1),IF(G172&lt;0,G172/100,-1)))</f>
        <v/>
      </c>
      <c r="I172" s="11" t="inlineStr">
        <is>
          <t>W</t>
        </is>
      </c>
      <c r="J172" s="10" t="inlineStr">
        <is>
          <t>BOS 1, STL 4</t>
        </is>
      </c>
      <c r="K172" s="10" t="inlineStr">
        <is>
          <t>DraftKings at pick time (4:00 PM CT)</t>
        </is>
      </c>
      <c r="L172" s="11" t="inlineStr">
        <is>
          <t>No</t>
        </is>
      </c>
    </row>
    <row r="173">
      <c r="A173" s="9" t="n">
        <v>46324</v>
      </c>
      <c r="B173" s="10" t="inlineStr">
        <is>
          <t>WSH @ NSH</t>
        </is>
      </c>
      <c r="C173" s="13" t="n">
        <v>80.93000000000001</v>
      </c>
      <c r="D173" s="13" t="n">
        <v>67.72</v>
      </c>
      <c r="E173" s="13">
        <f>IF(OR(C173="",D173=""),"",ABS(C173-D173))</f>
        <v/>
      </c>
      <c r="F173" s="11" t="inlineStr">
        <is>
          <t>WSH</t>
        </is>
      </c>
      <c r="G173" s="12" t="n">
        <v>-112</v>
      </c>
      <c r="H173" s="14">
        <f>IF(OR(F173="",G173="",AND(I173&lt;&gt;"W",I173&lt;&gt;"L")),"",IF(I173="W",IF(G173&gt;0,G173/100,1),IF(G173&lt;0,G173/100,-1)))</f>
        <v/>
      </c>
      <c r="I173" s="11" t="inlineStr">
        <is>
          <t>W</t>
        </is>
      </c>
      <c r="J173" s="10" t="inlineStr">
        <is>
          <t>WSH 4, NSH 3</t>
        </is>
      </c>
      <c r="K173" s="10" t="inlineStr">
        <is>
          <t>DraftKings at pick time (4:00 PM CT)</t>
        </is>
      </c>
      <c r="L173" s="11" t="inlineStr">
        <is>
          <t>Yes</t>
        </is>
      </c>
    </row>
    <row r="174">
      <c r="A174" s="9" t="n">
        <v>46324</v>
      </c>
      <c r="B174" s="10" t="inlineStr">
        <is>
          <t>MTL @ DAL</t>
        </is>
      </c>
      <c r="C174" s="13" t="n">
        <v>67.3</v>
      </c>
      <c r="D174" s="13" t="n">
        <v>52.02</v>
      </c>
      <c r="E174" s="13">
        <f>IF(OR(C174="",D174=""),"",ABS(C174-D174))</f>
        <v/>
      </c>
      <c r="F174" s="11" t="inlineStr">
        <is>
          <t>MTL</t>
        </is>
      </c>
      <c r="G174" s="12" t="n">
        <v>145</v>
      </c>
      <c r="H174" s="14">
        <f>IF(OR(F174="",G174="",AND(I174&lt;&gt;"W",I174&lt;&gt;"L")),"",IF(I174="W",IF(G174&gt;0,G174/100,1),IF(G174&lt;0,G174/100,-1)))</f>
        <v/>
      </c>
      <c r="I174" s="11" t="inlineStr">
        <is>
          <t>W</t>
        </is>
      </c>
      <c r="J174" s="10" t="inlineStr">
        <is>
          <t>MTL 5, DAL 2</t>
        </is>
      </c>
      <c r="K174" s="10" t="inlineStr">
        <is>
          <t>DraftKings at pick time (4:00 PM CT)</t>
        </is>
      </c>
      <c r="L174" s="11" t="inlineStr">
        <is>
          <t>No</t>
        </is>
      </c>
    </row>
    <row r="175">
      <c r="A175" s="9" t="n">
        <v>46324</v>
      </c>
      <c r="B175" s="10" t="inlineStr">
        <is>
          <t>NYI @ MIN</t>
        </is>
      </c>
      <c r="C175" s="13" t="n">
        <v>72.28</v>
      </c>
      <c r="D175" s="13" t="n">
        <v>77.15000000000001</v>
      </c>
      <c r="E175" s="13">
        <f>IF(OR(C175="",D175=""),"",ABS(C175-D175))</f>
        <v/>
      </c>
      <c r="F175" s="11" t="inlineStr">
        <is>
          <t>MIN</t>
        </is>
      </c>
      <c r="G175" s="12" t="n">
        <v>-192</v>
      </c>
      <c r="H175" s="14">
        <f>IF(OR(F175="",G175="",AND(I175&lt;&gt;"W",I175&lt;&gt;"L")),"",IF(I175="W",IF(G175&gt;0,G175/100,1),IF(G175&lt;0,G175/100,-1)))</f>
        <v/>
      </c>
      <c r="I175" s="11" t="inlineStr">
        <is>
          <t>L</t>
        </is>
      </c>
      <c r="J175" s="10" t="inlineStr">
        <is>
          <t>NYI 4, MIN 3</t>
        </is>
      </c>
      <c r="K175" s="10" t="inlineStr">
        <is>
          <t>DraftKings at pick time (4:00 PM CT)</t>
        </is>
      </c>
      <c r="L175" s="11" t="inlineStr">
        <is>
          <t>Yes</t>
        </is>
      </c>
    </row>
    <row r="176">
      <c r="A176" s="9" t="n">
        <v>46324</v>
      </c>
      <c r="B176" s="10" t="inlineStr">
        <is>
          <t>BUF @ ANA</t>
        </is>
      </c>
      <c r="C176" s="13" t="n">
        <v>79.29000000000001</v>
      </c>
      <c r="D176" s="13" t="n">
        <v>63.17</v>
      </c>
      <c r="E176" s="13">
        <f>IF(OR(C176="",D176=""),"",ABS(C176-D176))</f>
        <v/>
      </c>
      <c r="F176" s="11" t="inlineStr">
        <is>
          <t>BUF</t>
        </is>
      </c>
      <c r="G176" s="12" t="n">
        <v>-142</v>
      </c>
      <c r="H176" s="14">
        <f>IF(OR(F176="",G176="",AND(I176&lt;&gt;"W",I176&lt;&gt;"L")),"",IF(I176="W",IF(G176&gt;0,G176/100,1),IF(G176&lt;0,G176/100,-1)))</f>
        <v/>
      </c>
      <c r="I176" s="11" t="inlineStr">
        <is>
          <t>W</t>
        </is>
      </c>
      <c r="J176" s="10" t="inlineStr">
        <is>
          <t>BUF 7, ANA 6</t>
        </is>
      </c>
      <c r="K176" s="10" t="inlineStr">
        <is>
          <t>DraftKings at pick time (4:00 PM CT)</t>
        </is>
      </c>
      <c r="L176" s="11" t="inlineStr">
        <is>
          <t>No</t>
        </is>
      </c>
    </row>
    <row r="177">
      <c r="A177" s="9" t="n">
        <v>46324</v>
      </c>
      <c r="B177" s="10" t="inlineStr">
        <is>
          <t>OTT @ LAK</t>
        </is>
      </c>
      <c r="C177" s="13" t="n">
        <v>66.84</v>
      </c>
      <c r="D177" s="13" t="n">
        <v>64.31</v>
      </c>
      <c r="E177" s="13">
        <f>IF(OR(C177="",D177=""),"",ABS(C177-D177))</f>
        <v/>
      </c>
      <c r="F177" s="11" t="inlineStr">
        <is>
          <t>OTT</t>
        </is>
      </c>
      <c r="G177" s="12" t="n">
        <v>-125</v>
      </c>
      <c r="H177" s="14">
        <f>IF(OR(F177="",G177="",AND(I177&lt;&gt;"W",I177&lt;&gt;"L")),"",IF(I177="W",IF(G177&gt;0,G177/100,1),IF(G177&lt;0,G177/100,-1)))</f>
        <v/>
      </c>
      <c r="I177" s="11" t="inlineStr">
        <is>
          <t>L</t>
        </is>
      </c>
      <c r="J177" s="10" t="inlineStr">
        <is>
          <t>OTT 5, LAK 6</t>
        </is>
      </c>
      <c r="K177" s="10" t="inlineStr">
        <is>
          <t>DraftKings at pick time (4:00 PM CT)</t>
        </is>
      </c>
      <c r="L177" s="11" t="inlineStr">
        <is>
          <t>Yes</t>
        </is>
      </c>
    </row>
    <row r="178">
      <c r="A178" s="9" t="n">
        <v>46324</v>
      </c>
      <c r="B178" s="10" t="inlineStr">
        <is>
          <t>VAN @ SJS</t>
        </is>
      </c>
      <c r="C178" s="13" t="n">
        <v>76.83</v>
      </c>
      <c r="D178" s="13" t="n">
        <v>60.71</v>
      </c>
      <c r="E178" s="13">
        <f>IF(OR(C178="",D178=""),"",ABS(C178-D178))</f>
        <v/>
      </c>
      <c r="F178" s="11" t="inlineStr">
        <is>
          <t>VAN</t>
        </is>
      </c>
      <c r="G178" s="12" t="n">
        <v>145</v>
      </c>
      <c r="H178" s="14">
        <f>IF(OR(F178="",G178="",AND(I178&lt;&gt;"W",I178&lt;&gt;"L")),"",IF(I178="W",IF(G178&gt;0,G178/100,1),IF(G178&lt;0,G178/100,-1)))</f>
        <v/>
      </c>
      <c r="I178" s="11" t="inlineStr">
        <is>
          <t>L</t>
        </is>
      </c>
      <c r="J178" s="10" t="inlineStr">
        <is>
          <t>VAN 2, SJS 3</t>
        </is>
      </c>
      <c r="K178" s="10" t="inlineStr">
        <is>
          <t>DraftKings at pick time (4:00 PM CT)</t>
        </is>
      </c>
      <c r="L178" s="11" t="inlineStr">
        <is>
          <t>No</t>
        </is>
      </c>
    </row>
    <row r="179">
      <c r="A179" s="9" t="n">
        <v>46325</v>
      </c>
      <c r="B179" s="10" t="inlineStr">
        <is>
          <t>NJD @ VGK</t>
        </is>
      </c>
      <c r="C179" s="13" t="n">
        <v>47.51</v>
      </c>
      <c r="D179" s="13" t="n">
        <v>73.16</v>
      </c>
      <c r="E179" s="13">
        <f>IF(OR(C179="",D179=""),"",ABS(C179-D179))</f>
        <v/>
      </c>
      <c r="F179" s="11" t="inlineStr">
        <is>
          <t>VGK</t>
        </is>
      </c>
      <c r="G179" s="12" t="n">
        <v>-115</v>
      </c>
      <c r="H179" s="14">
        <f>IF(OR(F179="",G179="",AND(I179&lt;&gt;"W",I179&lt;&gt;"L")),"",IF(I179="W",IF(G179&gt;0,G179/100,1),IF(G179&lt;0,G179/100,-1)))</f>
        <v/>
      </c>
      <c r="I179" s="11" t="inlineStr">
        <is>
          <t>L</t>
        </is>
      </c>
      <c r="J179" s="10" t="inlineStr">
        <is>
          <t>NJD 5, VGK 2</t>
        </is>
      </c>
      <c r="K179" s="10" t="inlineStr">
        <is>
          <t>DraftKings at pick time (3:00 PM CT)</t>
        </is>
      </c>
      <c r="L179" s="11" t="inlineStr">
        <is>
          <t>Yes</t>
        </is>
      </c>
    </row>
    <row r="180">
      <c r="A180" s="9" t="n">
        <v>46325</v>
      </c>
      <c r="B180" s="10" t="inlineStr">
        <is>
          <t>WPG @ FLA</t>
        </is>
      </c>
      <c r="C180" s="13" t="n">
        <v>60.07</v>
      </c>
      <c r="D180" s="13" t="n">
        <v>80.93000000000001</v>
      </c>
      <c r="E180" s="13">
        <f>IF(OR(C180="",D180=""),"",ABS(C180-D180))</f>
        <v/>
      </c>
      <c r="F180" s="11" t="inlineStr">
        <is>
          <t>FLA</t>
        </is>
      </c>
      <c r="G180" s="12" t="n">
        <v>-225</v>
      </c>
      <c r="H180" s="14">
        <f>IF(OR(F180="",G180="",AND(I180&lt;&gt;"W",I180&lt;&gt;"L")),"",IF(I180="W",IF(G180&gt;0,G180/100,1),IF(G180&lt;0,G180/100,-1)))</f>
        <v/>
      </c>
      <c r="I180" s="11" t="inlineStr">
        <is>
          <t>W</t>
        </is>
      </c>
      <c r="J180" s="10" t="inlineStr">
        <is>
          <t>WPG 2, FLA 5</t>
        </is>
      </c>
      <c r="K180" s="10" t="inlineStr">
        <is>
          <t>DraftKings at pick time (3:00 PM CT)</t>
        </is>
      </c>
      <c r="L180" s="11" t="inlineStr">
        <is>
          <t>Yes</t>
        </is>
      </c>
    </row>
    <row r="181">
      <c r="A181" s="9" t="n">
        <v>46325</v>
      </c>
      <c r="B181" s="10" t="inlineStr">
        <is>
          <t>SEA @ CGY</t>
        </is>
      </c>
      <c r="C181" s="13" t="n">
        <v>71.77</v>
      </c>
      <c r="D181" s="13" t="n">
        <v>54.69</v>
      </c>
      <c r="E181" s="13">
        <f>IF(OR(C181="",D181=""),"",ABS(C181-D181))</f>
        <v/>
      </c>
      <c r="F181" s="11" t="inlineStr">
        <is>
          <t>SEA</t>
        </is>
      </c>
      <c r="G181" s="12" t="n">
        <v>-115</v>
      </c>
      <c r="H181" s="14">
        <f>IF(OR(F181="",G181="",AND(I181&lt;&gt;"W",I181&lt;&gt;"L")),"",IF(I181="W",IF(G181&gt;0,G181/100,1),IF(G181&lt;0,G181/100,-1)))</f>
        <v/>
      </c>
      <c r="I181" s="11" t="inlineStr">
        <is>
          <t>L</t>
        </is>
      </c>
      <c r="J181" s="10" t="inlineStr">
        <is>
          <t>SEA 2, CGY 6</t>
        </is>
      </c>
      <c r="K181" s="10" t="inlineStr">
        <is>
          <t>DraftKings at pick time (3:00 PM CT)</t>
        </is>
      </c>
      <c r="L181" s="11" t="inlineStr">
        <is>
          <t>No</t>
        </is>
      </c>
    </row>
    <row r="182">
      <c r="A182" s="9" t="n">
        <v>46326</v>
      </c>
      <c r="B182" s="10" t="inlineStr">
        <is>
          <t>CHI @ BOS</t>
        </is>
      </c>
      <c r="C182" s="13" t="n">
        <v>55.57</v>
      </c>
      <c r="D182" s="13" t="n">
        <v>68.8</v>
      </c>
      <c r="E182" s="13">
        <f>IF(OR(C182="",D182=""),"",ABS(C182-D182))</f>
        <v/>
      </c>
      <c r="F182" s="11" t="inlineStr">
        <is>
          <t>BOS</t>
        </is>
      </c>
      <c r="G182" s="12" t="n"/>
      <c r="H182" s="14">
        <f>IF(OR(F182="",G182="",AND(I182&lt;&gt;"W",I182&lt;&gt;"L")),"",IF(I182="W",IF(G182&gt;0,G182/100,1),IF(G182&lt;0,G182/100,-1)))</f>
        <v/>
      </c>
      <c r="I182" s="11" t="inlineStr"/>
      <c r="J182" s="10" t="inlineStr"/>
      <c r="K182" s="10" t="inlineStr">
        <is>
          <t>no line at pick time</t>
        </is>
      </c>
      <c r="L182" s="11" t="inlineStr">
        <is>
          <t>No</t>
        </is>
      </c>
    </row>
    <row r="183">
      <c r="A183" s="9" t="n">
        <v>46326</v>
      </c>
      <c r="B183" s="10" t="inlineStr">
        <is>
          <t>STL @ DET</t>
        </is>
      </c>
      <c r="C183" s="13" t="n">
        <v>71.2</v>
      </c>
      <c r="D183" s="13" t="n">
        <v>84.43000000000001</v>
      </c>
      <c r="E183" s="13">
        <f>IF(OR(C183="",D183=""),"",ABS(C183-D183))</f>
        <v/>
      </c>
      <c r="F183" s="11" t="inlineStr">
        <is>
          <t>DET</t>
        </is>
      </c>
      <c r="G183" s="12" t="n"/>
      <c r="H183" s="14">
        <f>IF(OR(F183="",G183="",AND(I183&lt;&gt;"W",I183&lt;&gt;"L")),"",IF(I183="W",IF(G183&gt;0,G183/100,1),IF(G183&lt;0,G183/100,-1)))</f>
        <v/>
      </c>
      <c r="I183" s="11" t="inlineStr"/>
      <c r="J183" s="10" t="inlineStr"/>
      <c r="K183" s="10" t="inlineStr">
        <is>
          <t>no line at pick time</t>
        </is>
      </c>
      <c r="L183" s="11" t="inlineStr">
        <is>
          <t>No</t>
        </is>
      </c>
    </row>
    <row r="184">
      <c r="A184" s="9" t="n">
        <v>46326</v>
      </c>
      <c r="B184" s="10" t="inlineStr">
        <is>
          <t>TBL @ NSH</t>
        </is>
      </c>
      <c r="C184" s="13" t="n">
        <v>79.93000000000001</v>
      </c>
      <c r="D184" s="13" t="n">
        <v>62.8</v>
      </c>
      <c r="E184" s="13">
        <f>IF(OR(C184="",D184=""),"",ABS(C184-D184))</f>
        <v/>
      </c>
      <c r="F184" s="11" t="inlineStr">
        <is>
          <t>TBL</t>
        </is>
      </c>
      <c r="G184" s="12" t="n"/>
      <c r="H184" s="14">
        <f>IF(OR(F184="",G184="",AND(I184&lt;&gt;"W",I184&lt;&gt;"L")),"",IF(I184="W",IF(G184&gt;0,G184/100,1),IF(G184&lt;0,G184/100,-1)))</f>
        <v/>
      </c>
      <c r="I184" s="11" t="inlineStr"/>
      <c r="J184" s="10" t="inlineStr"/>
      <c r="K184" s="10" t="inlineStr">
        <is>
          <t>no line at pick time</t>
        </is>
      </c>
      <c r="L184" s="11" t="inlineStr">
        <is>
          <t>No</t>
        </is>
      </c>
    </row>
    <row r="185">
      <c r="A185" s="9" t="n">
        <v>46326</v>
      </c>
      <c r="B185" s="10" t="inlineStr">
        <is>
          <t>EDM @ NYI</t>
        </is>
      </c>
      <c r="C185" s="13" t="n">
        <v>85.31</v>
      </c>
      <c r="D185" s="13" t="n">
        <v>75.98999999999999</v>
      </c>
      <c r="E185" s="13">
        <f>IF(OR(C185="",D185=""),"",ABS(C185-D185))</f>
        <v/>
      </c>
      <c r="F185" s="11" t="inlineStr">
        <is>
          <t>EDM</t>
        </is>
      </c>
      <c r="G185" s="12" t="n"/>
      <c r="H185" s="14">
        <f>IF(OR(F185="",G185="",AND(I185&lt;&gt;"W",I185&lt;&gt;"L")),"",IF(I185="W",IF(G185&gt;0,G185/100,1),IF(G185&lt;0,G185/100,-1)))</f>
        <v/>
      </c>
      <c r="I185" s="11" t="inlineStr"/>
      <c r="J185" s="10" t="inlineStr"/>
      <c r="K185" s="10" t="inlineStr">
        <is>
          <t>no line at pick time</t>
        </is>
      </c>
      <c r="L185" s="11" t="inlineStr">
        <is>
          <t>No</t>
        </is>
      </c>
    </row>
    <row r="186">
      <c r="A186" s="9" t="n">
        <v>46326</v>
      </c>
      <c r="B186" s="10" t="inlineStr">
        <is>
          <t>BUF @ LAK</t>
        </is>
      </c>
      <c r="C186" s="13" t="n">
        <v>75.79000000000001</v>
      </c>
      <c r="D186" s="13" t="n">
        <v>76.97</v>
      </c>
      <c r="E186" s="13">
        <f>IF(OR(C186="",D186=""),"",ABS(C186-D186))</f>
        <v/>
      </c>
      <c r="F186" s="11" t="inlineStr">
        <is>
          <t>LAK</t>
        </is>
      </c>
      <c r="G186" s="12" t="n"/>
      <c r="H186" s="14">
        <f>IF(OR(F186="",G186="",AND(I186&lt;&gt;"W",I186&lt;&gt;"L")),"",IF(I186="W",IF(G186&gt;0,G186/100,1),IF(G186&lt;0,G186/100,-1)))</f>
        <v/>
      </c>
      <c r="I186" s="11" t="inlineStr"/>
      <c r="J186" s="10" t="inlineStr"/>
      <c r="K186" s="10" t="inlineStr">
        <is>
          <t>no line at pick time</t>
        </is>
      </c>
      <c r="L186" s="11" t="inlineStr">
        <is>
          <t>No</t>
        </is>
      </c>
    </row>
    <row r="187">
      <c r="A187" s="9" t="n">
        <v>46326</v>
      </c>
      <c r="B187" s="10" t="inlineStr">
        <is>
          <t>OTT @ SJS</t>
        </is>
      </c>
      <c r="C187" s="13" t="n">
        <v>63.03</v>
      </c>
      <c r="D187" s="13" t="n">
        <v>72.53</v>
      </c>
      <c r="E187" s="13">
        <f>IF(OR(C187="",D187=""),"",ABS(C187-D187))</f>
        <v/>
      </c>
      <c r="F187" s="11" t="inlineStr">
        <is>
          <t>SJS</t>
        </is>
      </c>
      <c r="G187" s="12" t="n"/>
      <c r="H187" s="14">
        <f>IF(OR(F187="",G187="",AND(I187&lt;&gt;"W",I187&lt;&gt;"L")),"",IF(I187="W",IF(G187&gt;0,G187/100,1),IF(G187&lt;0,G187/100,-1)))</f>
        <v/>
      </c>
      <c r="I187" s="11" t="inlineStr"/>
      <c r="J187" s="10" t="inlineStr"/>
      <c r="K187" s="10" t="inlineStr">
        <is>
          <t>no line at pick time</t>
        </is>
      </c>
      <c r="L187" s="11" t="inlineStr">
        <is>
          <t>No</t>
        </is>
      </c>
    </row>
    <row r="188">
      <c r="A188" s="9" t="n">
        <v>46326</v>
      </c>
      <c r="B188" s="10" t="inlineStr">
        <is>
          <t>PIT @ MTL</t>
        </is>
      </c>
      <c r="C188" s="13" t="n">
        <v>63.26</v>
      </c>
      <c r="D188" s="13" t="n">
        <v>79.94</v>
      </c>
      <c r="E188" s="13">
        <f>IF(OR(C188="",D188=""),"",ABS(C188-D188))</f>
        <v/>
      </c>
      <c r="F188" s="11" t="inlineStr">
        <is>
          <t>MTL</t>
        </is>
      </c>
      <c r="G188" s="12" t="n"/>
      <c r="H188" s="14">
        <f>IF(OR(F188="",G188="",AND(I188&lt;&gt;"W",I188&lt;&gt;"L")),"",IF(I188="W",IF(G188&gt;0,G188/100,1),IF(G188&lt;0,G188/100,-1)))</f>
        <v/>
      </c>
      <c r="I188" s="11" t="inlineStr"/>
      <c r="J188" s="10" t="inlineStr"/>
      <c r="K188" s="10" t="inlineStr">
        <is>
          <t>no line at pick time</t>
        </is>
      </c>
      <c r="L188" s="11" t="inlineStr">
        <is>
          <t>No</t>
        </is>
      </c>
    </row>
    <row r="189">
      <c r="A189" s="9" t="n">
        <v>46326</v>
      </c>
      <c r="B189" s="10" t="inlineStr">
        <is>
          <t>TOR @ VAN</t>
        </is>
      </c>
      <c r="C189" s="13" t="n">
        <v>68.23</v>
      </c>
      <c r="D189" s="13" t="n">
        <v>67.47</v>
      </c>
      <c r="E189" s="13">
        <f>IF(OR(C189="",D189=""),"",ABS(C189-D189))</f>
        <v/>
      </c>
      <c r="F189" s="11" t="inlineStr">
        <is>
          <t>TOR</t>
        </is>
      </c>
      <c r="G189" s="12" t="n"/>
      <c r="H189" s="14">
        <f>IF(OR(F189="",G189="",AND(I189&lt;&gt;"W",I189&lt;&gt;"L")),"",IF(I189="W",IF(G189&gt;0,G189/100,1),IF(G189&lt;0,G189/100,-1)))</f>
        <v/>
      </c>
      <c r="I189" s="11" t="inlineStr"/>
      <c r="J189" s="10" t="inlineStr"/>
      <c r="K189" s="10" t="inlineStr">
        <is>
          <t>no line at pick time</t>
        </is>
      </c>
      <c r="L189" s="11" t="inlineStr">
        <is>
          <t>No</t>
        </is>
      </c>
    </row>
    <row r="190">
      <c r="A190" s="9" t="n">
        <v>46326</v>
      </c>
      <c r="B190" s="10" t="inlineStr">
        <is>
          <t>CBJ @ DAL</t>
        </is>
      </c>
      <c r="C190" s="13" t="n">
        <v>64.22</v>
      </c>
      <c r="D190" s="13" t="n">
        <v>60.06</v>
      </c>
      <c r="E190" s="13">
        <f>IF(OR(C190="",D190=""),"",ABS(C190-D190))</f>
        <v/>
      </c>
      <c r="F190" s="11" t="inlineStr">
        <is>
          <t>CBJ</t>
        </is>
      </c>
      <c r="G190" s="12" t="n"/>
      <c r="H190" s="14">
        <f>IF(OR(F190="",G190="",AND(I190&lt;&gt;"W",I190&lt;&gt;"L")),"",IF(I190="W",IF(G190&gt;0,G190/100,1),IF(G190&lt;0,G190/100,-1)))</f>
        <v/>
      </c>
      <c r="I190" s="11" t="inlineStr"/>
      <c r="J190" s="10" t="inlineStr"/>
      <c r="K190" s="10" t="inlineStr">
        <is>
          <t>no line at pick time</t>
        </is>
      </c>
      <c r="L190" s="11" t="inlineStr">
        <is>
          <t>No</t>
        </is>
      </c>
    </row>
    <row r="191">
      <c r="A191" s="9" t="n">
        <v>46326</v>
      </c>
      <c r="B191" s="10" t="inlineStr">
        <is>
          <t>CGY @ COL</t>
        </is>
      </c>
      <c r="C191" s="13" t="n">
        <v>86.89</v>
      </c>
      <c r="D191" s="13" t="n">
        <v>92.48999999999999</v>
      </c>
      <c r="E191" s="13">
        <f>IF(OR(C191="",D191=""),"",ABS(C191-D191))</f>
        <v/>
      </c>
      <c r="F191" s="11" t="inlineStr">
        <is>
          <t>COL</t>
        </is>
      </c>
      <c r="G191" s="12" t="n"/>
      <c r="H191" s="14">
        <f>IF(OR(F191="",G191="",AND(I191&lt;&gt;"W",I191&lt;&gt;"L")),"",IF(I191="W",IF(G191&gt;0,G191/100,1),IF(G191&lt;0,G191/100,-1)))</f>
        <v/>
      </c>
      <c r="I191" s="11" t="inlineStr"/>
      <c r="J191" s="10" t="inlineStr"/>
      <c r="K191" s="10" t="inlineStr">
        <is>
          <t>no line at pick time</t>
        </is>
      </c>
      <c r="L191" s="11" t="inlineStr">
        <is>
          <t>No</t>
        </is>
      </c>
    </row>
  </sheetData>
  <autoFilter ref="A8:L191"/>
  <conditionalFormatting sqref="A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9:H191">
    <cfRule type="cellIs" priority="3" operator="greaterThan" dxfId="2">
      <formula>0</formula>
    </cfRule>
    <cfRule type="cellIs" priority="4" operator="lessThan" dxfId="3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22" customWidth="1" min="3" max="3"/>
    <col width="22" customWidth="1" min="4" max="4"/>
    <col width="10" customWidth="1" min="5" max="5"/>
    <col width="12" customWidth="1" min="6" max="6"/>
    <col width="11" customWidth="1" min="7" max="7"/>
  </cols>
  <sheetData>
    <row r="1">
      <c r="A1" s="1" t="inlineStr">
        <is>
          <t>Each day's rule: the one that would have made the most units this season up to that morning</t>
        </is>
      </c>
    </row>
    <row r="3">
      <c r="A3" s="8" t="inlineStr">
        <is>
          <t>Date</t>
        </is>
      </c>
      <c r="B3" s="8" t="inlineStr">
        <is>
          <t>Rule</t>
        </is>
      </c>
      <c r="C3" s="8" t="inlineStr">
        <is>
          <t>That rule, season to date</t>
        </is>
      </c>
      <c r="D3" s="8" t="inlineStr">
        <is>
          <t>Every pick, season to date</t>
        </is>
      </c>
      <c r="E3" s="8" t="inlineStr">
        <is>
          <t>Picks emailed</t>
        </is>
      </c>
      <c r="F3" s="8" t="inlineStr">
        <is>
          <t>Their record</t>
        </is>
      </c>
      <c r="G3" s="8" t="inlineStr">
        <is>
          <t>Their units</t>
        </is>
      </c>
    </row>
    <row r="4">
      <c r="A4" s="16" t="n">
        <v>46316</v>
      </c>
      <c r="B4" s="17" t="inlineStr">
        <is>
          <t>Bet the pick when it has a line from -192 to +110 and a differential of 23.51 or less; home or away.</t>
        </is>
      </c>
      <c r="C4" s="18" t="inlineStr">
        <is>
          <t>46-18, +23.02 units</t>
        </is>
      </c>
      <c r="D4" s="18" t="inlineStr">
        <is>
          <t>66-42, +11.47 units</t>
        </is>
      </c>
      <c r="E4" s="19">
        <f>COUNTIFS('Dynamic Bet Results'!$A$9:$A$5000,A4)</f>
        <v/>
      </c>
      <c r="F4" s="20">
        <f>COUNTIFS('Dynamic Bet Results'!$A$9:$A$5000,A4,'Dynamic Bet Results'!$G$9:$G$5000,"W")&amp;"-"&amp;COUNTIFS('Dynamic Bet Results'!$A$9:$A$5000,A4,'Dynamic Bet Results'!$G$9:$G$5000,"L")</f>
        <v/>
      </c>
      <c r="G4" s="21">
        <f>SUMIFS('Dynamic Bet Results'!$F$9:$F$5000,'Dynamic Bet Results'!$A$9:$A$5000,A4)</f>
        <v/>
      </c>
    </row>
    <row r="5">
      <c r="A5" s="16" t="n">
        <v>46317</v>
      </c>
      <c r="B5" s="17" t="inlineStr">
        <is>
          <t>Bet the pick when it has a line from -192 to +110 and a differential of 23.51 or less; home or away.</t>
        </is>
      </c>
      <c r="C5" s="18" t="inlineStr">
        <is>
          <t>46-18, +23.02 units</t>
        </is>
      </c>
      <c r="D5" s="18" t="inlineStr">
        <is>
          <t>67-43, +12.17 units</t>
        </is>
      </c>
      <c r="E5" s="19">
        <f>COUNTIFS('Dynamic Bet Results'!$A$9:$A$5000,A5)</f>
        <v/>
      </c>
      <c r="F5" s="20">
        <f>COUNTIFS('Dynamic Bet Results'!$A$9:$A$5000,A5,'Dynamic Bet Results'!$G$9:$G$5000,"W")&amp;"-"&amp;COUNTIFS('Dynamic Bet Results'!$A$9:$A$5000,A5,'Dynamic Bet Results'!$G$9:$G$5000,"L")</f>
        <v/>
      </c>
      <c r="G5" s="21">
        <f>SUMIFS('Dynamic Bet Results'!$F$9:$F$5000,'Dynamic Bet Results'!$A$9:$A$5000,A5)</f>
        <v/>
      </c>
    </row>
    <row r="6">
      <c r="A6" s="16" t="n">
        <v>46318</v>
      </c>
      <c r="B6" s="17" t="inlineStr">
        <is>
          <t>Bet the pick when it has any line up to +110 and a differential of 19.38 or less; home or away.</t>
        </is>
      </c>
      <c r="C6" s="18" t="inlineStr">
        <is>
          <t>54-23, +20.97 units</t>
        </is>
      </c>
      <c r="D6" s="18" t="inlineStr">
        <is>
          <t>72-50, +7.82 units</t>
        </is>
      </c>
      <c r="E6" s="19">
        <f>COUNTIFS('Dynamic Bet Results'!$A$9:$A$5000,A6)</f>
        <v/>
      </c>
      <c r="F6" s="20">
        <f>COUNTIFS('Dynamic Bet Results'!$A$9:$A$5000,A6,'Dynamic Bet Results'!$G$9:$G$5000,"W")&amp;"-"&amp;COUNTIFS('Dynamic Bet Results'!$A$9:$A$5000,A6,'Dynamic Bet Results'!$G$9:$G$5000,"L")</f>
        <v/>
      </c>
      <c r="G6" s="21">
        <f>SUMIFS('Dynamic Bet Results'!$F$9:$F$5000,'Dynamic Bet Results'!$A$9:$A$5000,A6)</f>
        <v/>
      </c>
    </row>
    <row r="7">
      <c r="A7" s="16" t="n">
        <v>46319</v>
      </c>
      <c r="B7" s="17" t="inlineStr">
        <is>
          <t>Bet the pick when it has any line up to +110 and a differential of 19.38 or less; home or away.</t>
        </is>
      </c>
      <c r="C7" s="18" t="inlineStr">
        <is>
          <t>54-23, +20.97 units</t>
        </is>
      </c>
      <c r="D7" s="18" t="inlineStr">
        <is>
          <t>72-50, +7.82 units</t>
        </is>
      </c>
      <c r="E7" s="19">
        <f>COUNTIFS('Dynamic Bet Results'!$A$9:$A$5000,A7)</f>
        <v/>
      </c>
      <c r="F7" s="20">
        <f>COUNTIFS('Dynamic Bet Results'!$A$9:$A$5000,A7,'Dynamic Bet Results'!$G$9:$G$5000,"W")&amp;"-"&amp;COUNTIFS('Dynamic Bet Results'!$A$9:$A$5000,A7,'Dynamic Bet Results'!$G$9:$G$5000,"L")</f>
        <v/>
      </c>
      <c r="G7" s="21">
        <f>SUMIFS('Dynamic Bet Results'!$F$9:$F$5000,'Dynamic Bet Results'!$A$9:$A$5000,A7)</f>
        <v/>
      </c>
    </row>
    <row r="8">
      <c r="A8" s="16" t="n">
        <v>46320</v>
      </c>
      <c r="B8" s="17" t="inlineStr">
        <is>
          <t>Bet the pick when it has a line from -198 to +150 and a differential of 14.61 or less; home or away.</t>
        </is>
      </c>
      <c r="C8" s="18" t="inlineStr">
        <is>
          <t>48-19, +27.21 units</t>
        </is>
      </c>
      <c r="D8" s="18" t="inlineStr">
        <is>
          <t>81-53, +13.82 units</t>
        </is>
      </c>
      <c r="E8" s="19">
        <f>COUNTIFS('Dynamic Bet Results'!$A$9:$A$5000,A8)</f>
        <v/>
      </c>
      <c r="F8" s="20">
        <f>COUNTIFS('Dynamic Bet Results'!$A$9:$A$5000,A8,'Dynamic Bet Results'!$G$9:$G$5000,"W")&amp;"-"&amp;COUNTIFS('Dynamic Bet Results'!$A$9:$A$5000,A8,'Dynamic Bet Results'!$G$9:$G$5000,"L")</f>
        <v/>
      </c>
      <c r="G8" s="21">
        <f>SUMIFS('Dynamic Bet Results'!$F$9:$F$5000,'Dynamic Bet Results'!$A$9:$A$5000,A8)</f>
        <v/>
      </c>
    </row>
    <row r="9">
      <c r="A9" s="16" t="n">
        <v>46321</v>
      </c>
      <c r="B9" s="17" t="inlineStr">
        <is>
          <t>Bet the pick when it has a line from -198 to +150 and a differential of 14.61 or less; home or away.</t>
        </is>
      </c>
      <c r="C9" s="18" t="inlineStr">
        <is>
          <t>50-19, +29.21 units</t>
        </is>
      </c>
      <c r="D9" s="18" t="inlineStr">
        <is>
          <t>85-54, +15.52 units</t>
        </is>
      </c>
      <c r="E9" s="19">
        <f>COUNTIFS('Dynamic Bet Results'!$A$9:$A$5000,A9)</f>
        <v/>
      </c>
      <c r="F9" s="20">
        <f>COUNTIFS('Dynamic Bet Results'!$A$9:$A$5000,A9,'Dynamic Bet Results'!$G$9:$G$5000,"W")&amp;"-"&amp;COUNTIFS('Dynamic Bet Results'!$A$9:$A$5000,A9,'Dynamic Bet Results'!$G$9:$G$5000,"L")</f>
        <v/>
      </c>
      <c r="G9" s="21">
        <f>SUMIFS('Dynamic Bet Results'!$F$9:$F$5000,'Dynamic Bet Results'!$A$9:$A$5000,A9)</f>
        <v/>
      </c>
    </row>
    <row r="10">
      <c r="A10" s="16" t="n">
        <v>46322</v>
      </c>
      <c r="B10" s="17" t="inlineStr">
        <is>
          <t>Bet the pick when it has a line from -198 to +150 and a differential of 14.61 or less; home or away.</t>
        </is>
      </c>
      <c r="C10" s="18" t="inlineStr">
        <is>
          <t>51-21, +28.01 units</t>
        </is>
      </c>
      <c r="D10" s="18" t="inlineStr">
        <is>
          <t>86-56, +14.32 units</t>
        </is>
      </c>
      <c r="E10" s="19">
        <f>COUNTIFS('Dynamic Bet Results'!$A$9:$A$5000,A10)</f>
        <v/>
      </c>
      <c r="F10" s="20">
        <f>COUNTIFS('Dynamic Bet Results'!$A$9:$A$5000,A10,'Dynamic Bet Results'!$G$9:$G$5000,"W")&amp;"-"&amp;COUNTIFS('Dynamic Bet Results'!$A$9:$A$5000,A10,'Dynamic Bet Results'!$G$9:$G$5000,"L")</f>
        <v/>
      </c>
      <c r="G10" s="21">
        <f>SUMIFS('Dynamic Bet Results'!$F$9:$F$5000,'Dynamic Bet Results'!$A$9:$A$5000,A10)</f>
        <v/>
      </c>
    </row>
    <row r="11">
      <c r="A11" s="16" t="n">
        <v>46323</v>
      </c>
      <c r="B11" s="17" t="inlineStr">
        <is>
          <t>Bet the pick when it has a line from -198 to +150 and a differential of 14.61 or less; home or away.</t>
        </is>
      </c>
      <c r="C11" s="18" t="inlineStr">
        <is>
          <t>51-21, +28.01 units</t>
        </is>
      </c>
      <c r="D11" s="18" t="inlineStr">
        <is>
          <t>86-56, +14.32 units</t>
        </is>
      </c>
      <c r="E11" s="19">
        <f>COUNTIFS('Dynamic Bet Results'!$A$9:$A$5000,A11)</f>
        <v/>
      </c>
      <c r="F11" s="20">
        <f>COUNTIFS('Dynamic Bet Results'!$A$9:$A$5000,A11,'Dynamic Bet Results'!$G$9:$G$5000,"W")&amp;"-"&amp;COUNTIFS('Dynamic Bet Results'!$A$9:$A$5000,A11,'Dynamic Bet Results'!$G$9:$G$5000,"L")</f>
        <v/>
      </c>
      <c r="G11" s="21">
        <f>SUMIFS('Dynamic Bet Results'!$F$9:$F$5000,'Dynamic Bet Results'!$A$9:$A$5000,A11)</f>
        <v/>
      </c>
    </row>
    <row r="12">
      <c r="A12" s="16" t="n">
        <v>46324</v>
      </c>
      <c r="B12" s="17" t="inlineStr">
        <is>
          <t>Bet the pick when it has a line from -198 to +150 and a differential of 14.61 or less; home or away.</t>
        </is>
      </c>
      <c r="C12" s="18" t="inlineStr">
        <is>
          <t>51-23, +25.66 units</t>
        </is>
      </c>
      <c r="D12" s="18" t="inlineStr">
        <is>
          <t>87-59, +11.97 units</t>
        </is>
      </c>
      <c r="E12" s="19">
        <f>COUNTIFS('Dynamic Bet Results'!$A$9:$A$5000,A12)</f>
        <v/>
      </c>
      <c r="F12" s="20">
        <f>COUNTIFS('Dynamic Bet Results'!$A$9:$A$5000,A12,'Dynamic Bet Results'!$G$9:$G$5000,"W")&amp;"-"&amp;COUNTIFS('Dynamic Bet Results'!$A$9:$A$5000,A12,'Dynamic Bet Results'!$G$9:$G$5000,"L")</f>
        <v/>
      </c>
      <c r="G12" s="21">
        <f>SUMIFS('Dynamic Bet Results'!$F$9:$F$5000,'Dynamic Bet Results'!$A$9:$A$5000,A12)</f>
        <v/>
      </c>
    </row>
    <row r="13">
      <c r="A13" s="16" t="n">
        <v>46325</v>
      </c>
      <c r="B13" s="17" t="inlineStr">
        <is>
          <t>Bet the pick when it has any line up to +136 and a differential of 31.34 or less; home picks only.</t>
        </is>
      </c>
      <c r="C13" s="18" t="inlineStr">
        <is>
          <t>51-19, +23.89 units</t>
        </is>
      </c>
      <c r="D13" s="18" t="inlineStr">
        <is>
          <t>93-64, +12.25 units</t>
        </is>
      </c>
      <c r="E13" s="19">
        <f>COUNTIFS('Dynamic Bet Results'!$A$9:$A$5000,A13)</f>
        <v/>
      </c>
      <c r="F13" s="20">
        <f>COUNTIFS('Dynamic Bet Results'!$A$9:$A$5000,A13,'Dynamic Bet Results'!$G$9:$G$5000,"W")&amp;"-"&amp;COUNTIFS('Dynamic Bet Results'!$A$9:$A$5000,A13,'Dynamic Bet Results'!$G$9:$G$5000,"L")</f>
        <v/>
      </c>
      <c r="G13" s="21">
        <f>SUMIFS('Dynamic Bet Results'!$F$9:$F$5000,'Dynamic Bet Results'!$A$9:$A$5000,A13)</f>
        <v/>
      </c>
    </row>
    <row r="14">
      <c r="A14" s="16" t="n">
        <v>46326</v>
      </c>
      <c r="B14" s="17" t="inlineStr">
        <is>
          <t>Bet the pick when it has any line up to +136 and a differential of 20.86 or less; home picks only.</t>
        </is>
      </c>
      <c r="C14" s="18" t="inlineStr">
        <is>
          <t>46-16, +24.04 units</t>
        </is>
      </c>
      <c r="D14" s="18" t="inlineStr">
        <is>
          <t>94-66, +10.95 units</t>
        </is>
      </c>
      <c r="E14" s="19">
        <f>COUNTIFS('Dynamic Bet Results'!$A$9:$A$5000,A14)</f>
        <v/>
      </c>
      <c r="F14" s="20">
        <f>COUNTIFS('Dynamic Bet Results'!$A$9:$A$5000,A14,'Dynamic Bet Results'!$G$9:$G$5000,"W")&amp;"-"&amp;COUNTIFS('Dynamic Bet Results'!$A$9:$A$5000,A14,'Dynamic Bet Results'!$G$9:$G$5000,"L")</f>
        <v/>
      </c>
      <c r="G14" s="21">
        <f>SUMIFS('Dynamic Bet Results'!$F$9:$F$5000,'Dynamic Bet Results'!$A$9:$A$5000,A14)</f>
        <v/>
      </c>
    </row>
  </sheetData>
  <conditionalFormatting sqref="G4:G1000">
    <cfRule type="cellIs" priority="1" operator="greaterThan" dxfId="2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7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3" customWidth="1" min="5" max="5"/>
    <col width="8" customWidth="1" min="6" max="6"/>
    <col width="10" customWidth="1" min="7" max="7"/>
    <col width="9" customWidth="1" min="8" max="8"/>
    <col width="9" customWidth="1" min="9" max="9"/>
    <col width="20" customWidth="1" min="10" max="10"/>
    <col width="34" customWidth="1" min="11" max="11"/>
  </cols>
  <sheetData>
    <row r="1">
      <c r="A1" s="1" t="inlineStr">
        <is>
          <t>Team score betting backtest, NHL 2025-26 regular season (from Oct 14, 2025)</t>
        </is>
      </c>
    </row>
    <row r="2">
      <c r="A2" s="2" t="inlineStr">
        <is>
          <t>Pick the team with the higher team score in its previous game; bet the closing moneyline. See the Notes tab.</t>
        </is>
      </c>
    </row>
    <row r="4">
      <c r="A4" s="3" t="inlineStr">
        <is>
          <t>Total units</t>
        </is>
      </c>
      <c r="C4" s="3" t="inlineStr">
        <is>
          <t>Win %</t>
        </is>
      </c>
      <c r="E4" s="3" t="inlineStr">
        <is>
          <t>Record</t>
        </is>
      </c>
      <c r="G4" s="3" t="inlineStr">
        <is>
          <t>Bets</t>
        </is>
      </c>
    </row>
    <row r="5">
      <c r="A5" s="4">
        <f>SUM(H9:H1272)</f>
        <v/>
      </c>
      <c r="C5" s="5">
        <f>IFERROR(COUNTIF(I9:I1272,"W")/(COUNTIF(I9:I1272,"W")+COUNTIF(I9:I1272,"L")),"")</f>
        <v/>
      </c>
      <c r="E5" s="6">
        <f>COUNTIF(I9:I1272,"W")&amp;"-"&amp;COUNTIF(I9:I1272,"L")</f>
        <v/>
      </c>
      <c r="G5" s="7">
        <f>COUNTIF(I9:I1272,"W")+COUNTIF(I9:I1272,"L")</f>
        <v/>
      </c>
    </row>
    <row r="8">
      <c r="A8" s="8" t="inlineStr">
        <is>
          <t>Date</t>
        </is>
      </c>
      <c r="B8" s="8" t="inlineStr">
        <is>
          <t>Matchup</t>
        </is>
      </c>
      <c r="C8" s="8" t="inlineStr">
        <is>
          <t>Away team score</t>
        </is>
      </c>
      <c r="D8" s="8" t="inlineStr">
        <is>
          <t>Home team score</t>
        </is>
      </c>
      <c r="E8" s="8" t="inlineStr">
        <is>
          <t>Differential</t>
        </is>
      </c>
      <c r="F8" s="8" t="inlineStr">
        <is>
          <t>Pick</t>
        </is>
      </c>
      <c r="G8" s="8" t="inlineStr">
        <is>
          <t>Line</t>
        </is>
      </c>
      <c r="H8" s="8" t="inlineStr">
        <is>
          <t>Units</t>
        </is>
      </c>
      <c r="I8" s="8" t="inlineStr">
        <is>
          <t>Result</t>
        </is>
      </c>
      <c r="J8" s="8" t="inlineStr">
        <is>
          <t>Final score</t>
        </is>
      </c>
      <c r="K8" s="8" t="inlineStr">
        <is>
          <t>Line source</t>
        </is>
      </c>
    </row>
    <row r="9">
      <c r="A9" s="9" t="n">
        <v>45944</v>
      </c>
      <c r="B9" s="10" t="inlineStr">
        <is>
          <t>NSH @ TOR</t>
        </is>
      </c>
      <c r="C9" s="13" t="n">
        <v>70.16</v>
      </c>
      <c r="D9" s="13" t="n">
        <v>76.41</v>
      </c>
      <c r="E9" s="13">
        <f>IF(OR(C9="",D9=""),"",ABS(C9-D9))</f>
        <v/>
      </c>
      <c r="F9" s="11" t="inlineStr">
        <is>
          <t>TOR</t>
        </is>
      </c>
      <c r="G9" s="12" t="n">
        <v>-175</v>
      </c>
      <c r="H9" s="14">
        <f>IF(OR(F9="",G9="",AND(I9&lt;&gt;"W",I9&lt;&gt;"L")),"",IF(I9="W",IF(G9&gt;0,G9/100,1),IF(G9&lt;0,G9/100,-1)))</f>
        <v/>
      </c>
      <c r="I9" s="11" t="inlineStr">
        <is>
          <t>W</t>
        </is>
      </c>
      <c r="J9" s="10" t="inlineStr">
        <is>
          <t>NSH 4, TOR 7</t>
        </is>
      </c>
      <c r="K9" s="10" t="inlineStr">
        <is>
          <t>ESPN BET closing</t>
        </is>
      </c>
    </row>
    <row r="10">
      <c r="A10" s="9" t="n">
        <v>45944</v>
      </c>
      <c r="B10" s="10" t="inlineStr">
        <is>
          <t>SEA @ MTL</t>
        </is>
      </c>
      <c r="C10" s="13" t="n">
        <v>70.93000000000001</v>
      </c>
      <c r="D10" s="13" t="n">
        <v>76.95</v>
      </c>
      <c r="E10" s="13">
        <f>IF(OR(C10="",D10=""),"",ABS(C10-D10))</f>
        <v/>
      </c>
      <c r="F10" s="11" t="inlineStr">
        <is>
          <t>MTL</t>
        </is>
      </c>
      <c r="G10" s="12" t="n">
        <v>-155</v>
      </c>
      <c r="H10" s="14">
        <f>IF(OR(F10="",G10="",AND(I10&lt;&gt;"W",I10&lt;&gt;"L")),"",IF(I10="W",IF(G10&gt;0,G10/100,1),IF(G10&lt;0,G10/100,-1)))</f>
        <v/>
      </c>
      <c r="I10" s="11" t="inlineStr">
        <is>
          <t>W</t>
        </is>
      </c>
      <c r="J10" s="10" t="inlineStr">
        <is>
          <t>SEA 4, MTL 5</t>
        </is>
      </c>
      <c r="K10" s="10" t="inlineStr">
        <is>
          <t>ESPN BET closing</t>
        </is>
      </c>
    </row>
    <row r="11">
      <c r="A11" s="9" t="n">
        <v>45944</v>
      </c>
      <c r="B11" s="10" t="inlineStr">
        <is>
          <t>EDM @ NYR</t>
        </is>
      </c>
      <c r="C11" s="13" t="n">
        <v>82.17</v>
      </c>
      <c r="D11" s="13" t="n">
        <v>71.78</v>
      </c>
      <c r="E11" s="13">
        <f>IF(OR(C11="",D11=""),"",ABS(C11-D11))</f>
        <v/>
      </c>
      <c r="F11" s="11" t="inlineStr">
        <is>
          <t>EDM</t>
        </is>
      </c>
      <c r="G11" s="12" t="n">
        <v>-135</v>
      </c>
      <c r="H11" s="14">
        <f>IF(OR(F11="",G11="",AND(I11&lt;&gt;"W",I11&lt;&gt;"L")),"",IF(I11="W",IF(G11&gt;0,G11/100,1),IF(G11&lt;0,G11/100,-1)))</f>
        <v/>
      </c>
      <c r="I11" s="11" t="inlineStr">
        <is>
          <t>W</t>
        </is>
      </c>
      <c r="J11" s="10" t="inlineStr">
        <is>
          <t>EDM 2, NYR 0</t>
        </is>
      </c>
      <c r="K11" s="10" t="inlineStr">
        <is>
          <t>ESPN BET closing</t>
        </is>
      </c>
    </row>
    <row r="12">
      <c r="A12" s="9" t="n">
        <v>45944</v>
      </c>
      <c r="B12" s="10" t="inlineStr">
        <is>
          <t>TBL @ WSH</t>
        </is>
      </c>
      <c r="C12" s="13" t="n">
        <v>77.61</v>
      </c>
      <c r="D12" s="13" t="n">
        <v>68.22</v>
      </c>
      <c r="E12" s="13">
        <f>IF(OR(C12="",D12=""),"",ABS(C12-D12))</f>
        <v/>
      </c>
      <c r="F12" s="11" t="inlineStr">
        <is>
          <t>TBL</t>
        </is>
      </c>
      <c r="G12" s="12" t="n">
        <v>-115</v>
      </c>
      <c r="H12" s="14">
        <f>IF(OR(F12="",G12="",AND(I12&lt;&gt;"W",I12&lt;&gt;"L")),"",IF(I12="W",IF(G12&gt;0,G12/100,1),IF(G12&lt;0,G12/100,-1)))</f>
        <v/>
      </c>
      <c r="I12" s="11" t="inlineStr">
        <is>
          <t>L</t>
        </is>
      </c>
      <c r="J12" s="10" t="inlineStr">
        <is>
          <t>TBL 2, WSH 3</t>
        </is>
      </c>
      <c r="K12" s="10" t="inlineStr">
        <is>
          <t>ESPN BET closing</t>
        </is>
      </c>
    </row>
    <row r="13">
      <c r="A13" s="9" t="n">
        <v>45944</v>
      </c>
      <c r="B13" s="10" t="inlineStr">
        <is>
          <t>VGK @ CGY</t>
        </is>
      </c>
      <c r="C13" s="13" t="n">
        <v>69.06999999999999</v>
      </c>
      <c r="D13" s="13" t="n">
        <v>66.53</v>
      </c>
      <c r="E13" s="13">
        <f>IF(OR(C13="",D13=""),"",ABS(C13-D13))</f>
        <v/>
      </c>
      <c r="F13" s="11" t="inlineStr">
        <is>
          <t>VGK</t>
        </is>
      </c>
      <c r="G13" s="12" t="n">
        <v>-170</v>
      </c>
      <c r="H13" s="14">
        <f>IF(OR(F13="",G13="",AND(I13&lt;&gt;"W",I13&lt;&gt;"L")),"",IF(I13="W",IF(G13&gt;0,G13/100,1),IF(G13&lt;0,G13/100,-1)))</f>
        <v/>
      </c>
      <c r="I13" s="11" t="inlineStr">
        <is>
          <t>W</t>
        </is>
      </c>
      <c r="J13" s="10" t="inlineStr">
        <is>
          <t>VGK 4, CGY 2</t>
        </is>
      </c>
      <c r="K13" s="10" t="inlineStr">
        <is>
          <t>ESPN BET closing</t>
        </is>
      </c>
    </row>
    <row r="14">
      <c r="A14" s="9" t="n">
        <v>45944</v>
      </c>
      <c r="B14" s="10" t="inlineStr">
        <is>
          <t>MIN @ DAL</t>
        </is>
      </c>
      <c r="C14" s="13" t="n">
        <v>65.34</v>
      </c>
      <c r="D14" s="13" t="n">
        <v>58</v>
      </c>
      <c r="E14" s="13">
        <f>IF(OR(C14="",D14=""),"",ABS(C14-D14))</f>
        <v/>
      </c>
      <c r="F14" s="11" t="inlineStr">
        <is>
          <t>MIN</t>
        </is>
      </c>
      <c r="G14" s="12" t="n">
        <v>160</v>
      </c>
      <c r="H14" s="14">
        <f>IF(OR(F14="",G14="",AND(I14&lt;&gt;"W",I14&lt;&gt;"L")),"",IF(I14="W",IF(G14&gt;0,G14/100,1),IF(G14&lt;0,G14/100,-1)))</f>
        <v/>
      </c>
      <c r="I14" s="11" t="inlineStr">
        <is>
          <t>L</t>
        </is>
      </c>
      <c r="J14" s="10" t="inlineStr">
        <is>
          <t>MIN 2, DAL 5</t>
        </is>
      </c>
      <c r="K14" s="10" t="inlineStr">
        <is>
          <t>ESPN BET closing</t>
        </is>
      </c>
    </row>
    <row r="15">
      <c r="A15" s="9" t="n">
        <v>45944</v>
      </c>
      <c r="B15" s="10" t="inlineStr">
        <is>
          <t>CAR @ SJS</t>
        </is>
      </c>
      <c r="C15" s="13" t="n">
        <v>82.44</v>
      </c>
      <c r="D15" s="13" t="n">
        <v>54.08</v>
      </c>
      <c r="E15" s="13">
        <f>IF(OR(C15="",D15=""),"",ABS(C15-D15))</f>
        <v/>
      </c>
      <c r="F15" s="11" t="inlineStr">
        <is>
          <t>CAR</t>
        </is>
      </c>
      <c r="G15" s="12" t="n">
        <v>-260</v>
      </c>
      <c r="H15" s="14">
        <f>IF(OR(F15="",G15="",AND(I15&lt;&gt;"W",I15&lt;&gt;"L")),"",IF(I15="W",IF(G15&gt;0,G15/100,1),IF(G15&lt;0,G15/100,-1)))</f>
        <v/>
      </c>
      <c r="I15" s="11" t="inlineStr">
        <is>
          <t>W</t>
        </is>
      </c>
      <c r="J15" s="10" t="inlineStr">
        <is>
          <t>CAR 5, SJS 1</t>
        </is>
      </c>
      <c r="K15" s="10" t="inlineStr">
        <is>
          <t>ESPN BET closing</t>
        </is>
      </c>
    </row>
    <row r="16">
      <c r="A16" s="9" t="n">
        <v>45944</v>
      </c>
      <c r="B16" s="10" t="inlineStr">
        <is>
          <t>PIT @ ANA</t>
        </is>
      </c>
      <c r="C16" s="13" t="n">
        <v>49.26</v>
      </c>
      <c r="D16" s="13" t="n">
        <v>85.92</v>
      </c>
      <c r="E16" s="13">
        <f>IF(OR(C16="",D16=""),"",ABS(C16-D16))</f>
        <v/>
      </c>
      <c r="F16" s="11" t="inlineStr">
        <is>
          <t>ANA</t>
        </is>
      </c>
      <c r="G16" s="12" t="n">
        <v>-145</v>
      </c>
      <c r="H16" s="14">
        <f>IF(OR(F16="",G16="",AND(I16&lt;&gt;"W",I16&lt;&gt;"L")),"",IF(I16="W",IF(G16&gt;0,G16/100,1),IF(G16&lt;0,G16/100,-1)))</f>
        <v/>
      </c>
      <c r="I16" s="11" t="inlineStr">
        <is>
          <t>W</t>
        </is>
      </c>
      <c r="J16" s="10" t="inlineStr">
        <is>
          <t>PIT 3, ANA 4</t>
        </is>
      </c>
      <c r="K16" s="10" t="inlineStr">
        <is>
          <t>ESPN BET closing</t>
        </is>
      </c>
    </row>
    <row r="17">
      <c r="A17" s="9" t="n">
        <v>45945</v>
      </c>
      <c r="B17" s="10" t="inlineStr">
        <is>
          <t>OTT @ BUF</t>
        </is>
      </c>
      <c r="C17" s="13" t="n">
        <v>69.84</v>
      </c>
      <c r="D17" s="13" t="n">
        <v>61.84</v>
      </c>
      <c r="E17" s="13">
        <f>IF(OR(C17="",D17=""),"",ABS(C17-D17))</f>
        <v/>
      </c>
      <c r="F17" s="11" t="inlineStr">
        <is>
          <t>OTT</t>
        </is>
      </c>
      <c r="G17" s="12" t="n">
        <v>-120</v>
      </c>
      <c r="H17" s="14">
        <f>IF(OR(F17="",G17="",AND(I17&lt;&gt;"W",I17&lt;&gt;"L")),"",IF(I17="W",IF(G17&gt;0,G17/100,1),IF(G17&lt;0,G17/100,-1)))</f>
        <v/>
      </c>
      <c r="I17" s="11" t="inlineStr">
        <is>
          <t>L</t>
        </is>
      </c>
      <c r="J17" s="10" t="inlineStr">
        <is>
          <t>OTT 4, BUF 8</t>
        </is>
      </c>
      <c r="K17" s="10" t="inlineStr">
        <is>
          <t>ESPN BET closing</t>
        </is>
      </c>
    </row>
    <row r="18">
      <c r="A18" s="9" t="n">
        <v>45945</v>
      </c>
      <c r="B18" s="10" t="inlineStr">
        <is>
          <t>FLA @ DET</t>
        </is>
      </c>
      <c r="C18" s="13" t="n">
        <v>64.84</v>
      </c>
      <c r="D18" s="13" t="n">
        <v>63.59</v>
      </c>
      <c r="E18" s="13">
        <f>IF(OR(C18="",D18=""),"",ABS(C18-D18))</f>
        <v/>
      </c>
      <c r="F18" s="11" t="inlineStr">
        <is>
          <t>FLA</t>
        </is>
      </c>
      <c r="G18" s="12" t="n">
        <v>-155</v>
      </c>
      <c r="H18" s="14">
        <f>IF(OR(F18="",G18="",AND(I18&lt;&gt;"W",I18&lt;&gt;"L")),"",IF(I18="W",IF(G18&gt;0,G18/100,1),IF(G18&lt;0,G18/100,-1)))</f>
        <v/>
      </c>
      <c r="I18" s="11" t="inlineStr">
        <is>
          <t>L</t>
        </is>
      </c>
      <c r="J18" s="10" t="inlineStr">
        <is>
          <t>FLA 1, DET 4</t>
        </is>
      </c>
      <c r="K18" s="10" t="inlineStr">
        <is>
          <t>ESPN BET closing</t>
        </is>
      </c>
    </row>
    <row r="19">
      <c r="A19" s="9" t="n">
        <v>45945</v>
      </c>
      <c r="B19" s="10" t="inlineStr">
        <is>
          <t>CHI @ STL</t>
        </is>
      </c>
      <c r="C19" s="13" t="n">
        <v>64.34</v>
      </c>
      <c r="D19" s="13" t="n">
        <v>81.44</v>
      </c>
      <c r="E19" s="13">
        <f>IF(OR(C19="",D19=""),"",ABS(C19-D19))</f>
        <v/>
      </c>
      <c r="F19" s="11" t="inlineStr">
        <is>
          <t>STL</t>
        </is>
      </c>
      <c r="G19" s="12" t="n">
        <v>-240</v>
      </c>
      <c r="H19" s="14">
        <f>IF(OR(F19="",G19="",AND(I19&lt;&gt;"W",I19&lt;&gt;"L")),"",IF(I19="W",IF(G19&gt;0,G19/100,1),IF(G19&lt;0,G19/100,-1)))</f>
        <v/>
      </c>
      <c r="I19" s="11" t="inlineStr">
        <is>
          <t>L</t>
        </is>
      </c>
      <c r="J19" s="10" t="inlineStr">
        <is>
          <t>CHI 8, STL 3</t>
        </is>
      </c>
      <c r="K19" s="10" t="inlineStr">
        <is>
          <t>ESPN BET closing</t>
        </is>
      </c>
    </row>
    <row r="20">
      <c r="A20" s="9" t="n">
        <v>45945</v>
      </c>
      <c r="B20" s="10" t="inlineStr">
        <is>
          <t>CGY @ UTA</t>
        </is>
      </c>
      <c r="C20" s="13" t="n">
        <v>65.90000000000001</v>
      </c>
      <c r="D20" s="13" t="n">
        <v>75.66</v>
      </c>
      <c r="E20" s="13">
        <f>IF(OR(C20="",D20=""),"",ABS(C20-D20))</f>
        <v/>
      </c>
      <c r="F20" s="11" t="inlineStr">
        <is>
          <t>UTA</t>
        </is>
      </c>
      <c r="G20" s="12" t="n">
        <v>-240</v>
      </c>
      <c r="H20" s="14">
        <f>IF(OR(F20="",G20="",AND(I20&lt;&gt;"W",I20&lt;&gt;"L")),"",IF(I20="W",IF(G20&gt;0,G20/100,1),IF(G20&lt;0,G20/100,-1)))</f>
        <v/>
      </c>
      <c r="I20" s="11" t="inlineStr">
        <is>
          <t>W</t>
        </is>
      </c>
      <c r="J20" s="10" t="inlineStr">
        <is>
          <t>CGY 1, UTA 3</t>
        </is>
      </c>
      <c r="K20" s="10" t="inlineStr">
        <is>
          <t>ESPN BET closing</t>
        </is>
      </c>
    </row>
    <row r="21">
      <c r="A21" s="9" t="n">
        <v>45946</v>
      </c>
      <c r="B21" s="10" t="inlineStr">
        <is>
          <t>NYR @ TOR</t>
        </is>
      </c>
      <c r="C21" s="13" t="n">
        <v>71.90000000000001</v>
      </c>
      <c r="D21" s="13" t="n">
        <v>72.48</v>
      </c>
      <c r="E21" s="13">
        <f>IF(OR(C21="",D21=""),"",ABS(C21-D21))</f>
        <v/>
      </c>
      <c r="F21" s="11" t="inlineStr">
        <is>
          <t>TOR</t>
        </is>
      </c>
      <c r="G21" s="12" t="n">
        <v>-150</v>
      </c>
      <c r="H21" s="14">
        <f>IF(OR(F21="",G21="",AND(I21&lt;&gt;"W",I21&lt;&gt;"L")),"",IF(I21="W",IF(G21&gt;0,G21/100,1),IF(G21&lt;0,G21/100,-1)))</f>
        <v/>
      </c>
      <c r="I21" s="11" t="inlineStr">
        <is>
          <t>W</t>
        </is>
      </c>
      <c r="J21" s="10" t="inlineStr">
        <is>
          <t>NYR 1, TOR 2</t>
        </is>
      </c>
      <c r="K21" s="10" t="inlineStr">
        <is>
          <t>ESPN BET closing</t>
        </is>
      </c>
    </row>
    <row r="22">
      <c r="A22" s="9" t="n">
        <v>45946</v>
      </c>
      <c r="B22" s="10" t="inlineStr">
        <is>
          <t>NSH @ MTL</t>
        </is>
      </c>
      <c r="C22" s="13" t="n">
        <v>67.52</v>
      </c>
      <c r="D22" s="13" t="n">
        <v>71.88</v>
      </c>
      <c r="E22" s="13">
        <f>IF(OR(C22="",D22=""),"",ABS(C22-D22))</f>
        <v/>
      </c>
      <c r="F22" s="11" t="inlineStr">
        <is>
          <t>MTL</t>
        </is>
      </c>
      <c r="G22" s="12" t="n">
        <v>-140</v>
      </c>
      <c r="H22" s="14">
        <f>IF(OR(F22="",G22="",AND(I22&lt;&gt;"W",I22&lt;&gt;"L")),"",IF(I22="W",IF(G22&gt;0,G22/100,1),IF(G22&lt;0,G22/100,-1)))</f>
        <v/>
      </c>
      <c r="I22" s="11" t="inlineStr">
        <is>
          <t>W</t>
        </is>
      </c>
      <c r="J22" s="10" t="inlineStr">
        <is>
          <t>NSH 2, MTL 3</t>
        </is>
      </c>
      <c r="K22" s="10" t="inlineStr">
        <is>
          <t>ESPN BET closing</t>
        </is>
      </c>
    </row>
    <row r="23">
      <c r="A23" s="9" t="n">
        <v>45946</v>
      </c>
      <c r="B23" s="10" t="inlineStr">
        <is>
          <t>SEA @ OTT</t>
        </is>
      </c>
      <c r="C23" s="13" t="n">
        <v>68.12</v>
      </c>
      <c r="D23" s="13" t="n">
        <v>70.89</v>
      </c>
      <c r="E23" s="13">
        <f>IF(OR(C23="",D23=""),"",ABS(C23-D23))</f>
        <v/>
      </c>
      <c r="F23" s="11" t="inlineStr">
        <is>
          <t>OTT</t>
        </is>
      </c>
      <c r="G23" s="12" t="n">
        <v>-160</v>
      </c>
      <c r="H23" s="14">
        <f>IF(OR(F23="",G23="",AND(I23&lt;&gt;"W",I23&lt;&gt;"L")),"",IF(I23="W",IF(G23&gt;0,G23/100,1),IF(G23&lt;0,G23/100,-1)))</f>
        <v/>
      </c>
      <c r="I23" s="11" t="inlineStr">
        <is>
          <t>W</t>
        </is>
      </c>
      <c r="J23" s="10" t="inlineStr">
        <is>
          <t>SEA 3, OTT 4</t>
        </is>
      </c>
      <c r="K23" s="10" t="inlineStr">
        <is>
          <t>ESPN BET closing</t>
        </is>
      </c>
    </row>
    <row r="24">
      <c r="A24" s="9" t="n">
        <v>45946</v>
      </c>
      <c r="B24" s="10" t="inlineStr">
        <is>
          <t>FLA @ NJD</t>
        </is>
      </c>
      <c r="C24" s="13" t="n">
        <v>66.70999999999999</v>
      </c>
      <c r="D24" s="13" t="n">
        <v>68.40000000000001</v>
      </c>
      <c r="E24" s="13">
        <f>IF(OR(C24="",D24=""),"",ABS(C24-D24))</f>
        <v/>
      </c>
      <c r="F24" s="11" t="inlineStr">
        <is>
          <t>NJD</t>
        </is>
      </c>
      <c r="G24" s="12" t="n">
        <v>-155</v>
      </c>
      <c r="H24" s="14">
        <f>IF(OR(F24="",G24="",AND(I24&lt;&gt;"W",I24&lt;&gt;"L")),"",IF(I24="W",IF(G24&gt;0,G24/100,1),IF(G24&lt;0,G24/100,-1)))</f>
        <v/>
      </c>
      <c r="I24" s="11" t="inlineStr">
        <is>
          <t>W</t>
        </is>
      </c>
      <c r="J24" s="10" t="inlineStr">
        <is>
          <t>FLA 1, NJD 3</t>
        </is>
      </c>
      <c r="K24" s="10" t="inlineStr">
        <is>
          <t>ESPN BET closing</t>
        </is>
      </c>
    </row>
    <row r="25">
      <c r="A25" s="9" t="n">
        <v>45946</v>
      </c>
      <c r="B25" s="10" t="inlineStr">
        <is>
          <t>WPG @ PHI</t>
        </is>
      </c>
      <c r="C25" s="13" t="n">
        <v>65.8</v>
      </c>
      <c r="D25" s="13" t="n">
        <v>75.16</v>
      </c>
      <c r="E25" s="13">
        <f>IF(OR(C25="",D25=""),"",ABS(C25-D25))</f>
        <v/>
      </c>
      <c r="F25" s="11" t="inlineStr">
        <is>
          <t>PHI</t>
        </is>
      </c>
      <c r="G25" s="12" t="n">
        <v>115</v>
      </c>
      <c r="H25" s="14">
        <f>IF(OR(F25="",G25="",AND(I25&lt;&gt;"W",I25&lt;&gt;"L")),"",IF(I25="W",IF(G25&gt;0,G25/100,1),IF(G25&lt;0,G25/100,-1)))</f>
        <v/>
      </c>
      <c r="I25" s="11" t="inlineStr">
        <is>
          <t>L</t>
        </is>
      </c>
      <c r="J25" s="10" t="inlineStr">
        <is>
          <t>WPG 5, PHI 2</t>
        </is>
      </c>
      <c r="K25" s="10" t="inlineStr">
        <is>
          <t>ESPN BET closing</t>
        </is>
      </c>
    </row>
    <row r="26">
      <c r="A26" s="9" t="n">
        <v>45946</v>
      </c>
      <c r="B26" s="10" t="inlineStr">
        <is>
          <t>COL @ CBJ</t>
        </is>
      </c>
      <c r="C26" s="13" t="n">
        <v>78.16</v>
      </c>
      <c r="D26" s="13" t="n">
        <v>71.59999999999999</v>
      </c>
      <c r="E26" s="13">
        <f>IF(OR(C26="",D26=""),"",ABS(C26-D26))</f>
        <v/>
      </c>
      <c r="F26" s="11" t="inlineStr">
        <is>
          <t>COL</t>
        </is>
      </c>
      <c r="G26" s="12" t="n">
        <v>-170</v>
      </c>
      <c r="H26" s="14">
        <f>IF(OR(F26="",G26="",AND(I26&lt;&gt;"W",I26&lt;&gt;"L")),"",IF(I26="W",IF(G26&gt;0,G26/100,1),IF(G26&lt;0,G26/100,-1)))</f>
        <v/>
      </c>
      <c r="I26" s="11" t="inlineStr">
        <is>
          <t>W</t>
        </is>
      </c>
      <c r="J26" s="10" t="inlineStr">
        <is>
          <t>COL 4, CBJ 1</t>
        </is>
      </c>
      <c r="K26" s="10" t="inlineStr">
        <is>
          <t>ESPN BET closing</t>
        </is>
      </c>
    </row>
    <row r="27">
      <c r="A27" s="9" t="n">
        <v>45946</v>
      </c>
      <c r="B27" s="10" t="inlineStr">
        <is>
          <t>EDM @ NYI</t>
        </is>
      </c>
      <c r="C27" s="13" t="n">
        <v>68.09999999999999</v>
      </c>
      <c r="D27" s="13" t="n">
        <v>74.2</v>
      </c>
      <c r="E27" s="13">
        <f>IF(OR(C27="",D27=""),"",ABS(C27-D27))</f>
        <v/>
      </c>
      <c r="F27" s="11" t="inlineStr">
        <is>
          <t>NYI</t>
        </is>
      </c>
      <c r="G27" s="12" t="n">
        <v>140</v>
      </c>
      <c r="H27" s="14">
        <f>IF(OR(F27="",G27="",AND(I27&lt;&gt;"W",I27&lt;&gt;"L")),"",IF(I27="W",IF(G27&gt;0,G27/100,1),IF(G27&lt;0,G27/100,-1)))</f>
        <v/>
      </c>
      <c r="I27" s="11" t="inlineStr">
        <is>
          <t>W</t>
        </is>
      </c>
      <c r="J27" s="10" t="inlineStr">
        <is>
          <t>EDM 2, NYI 4</t>
        </is>
      </c>
      <c r="K27" s="10" t="inlineStr">
        <is>
          <t>ESPN BET closing</t>
        </is>
      </c>
    </row>
    <row r="28">
      <c r="A28" s="9" t="n">
        <v>45946</v>
      </c>
      <c r="B28" s="10" t="inlineStr">
        <is>
          <t>VAN @ DAL</t>
        </is>
      </c>
      <c r="C28" s="13" t="n">
        <v>58.56</v>
      </c>
      <c r="D28" s="13" t="n">
        <v>69.52</v>
      </c>
      <c r="E28" s="13">
        <f>IF(OR(C28="",D28=""),"",ABS(C28-D28))</f>
        <v/>
      </c>
      <c r="F28" s="11" t="inlineStr">
        <is>
          <t>DAL</t>
        </is>
      </c>
      <c r="G28" s="12" t="n">
        <v>-155</v>
      </c>
      <c r="H28" s="14">
        <f>IF(OR(F28="",G28="",AND(I28&lt;&gt;"W",I28&lt;&gt;"L")),"",IF(I28="W",IF(G28&gt;0,G28/100,1),IF(G28&lt;0,G28/100,-1)))</f>
        <v/>
      </c>
      <c r="I28" s="11" t="inlineStr">
        <is>
          <t>L</t>
        </is>
      </c>
      <c r="J28" s="10" t="inlineStr">
        <is>
          <t>VAN 5, DAL 3</t>
        </is>
      </c>
      <c r="K28" s="10" t="inlineStr">
        <is>
          <t>ESPN BET closing</t>
        </is>
      </c>
    </row>
    <row r="29">
      <c r="A29" s="9" t="n">
        <v>45946</v>
      </c>
      <c r="B29" s="10" t="inlineStr">
        <is>
          <t>BOS @ VGK</t>
        </is>
      </c>
      <c r="C29" s="13" t="n">
        <v>62.39</v>
      </c>
      <c r="D29" s="13" t="n">
        <v>74.09999999999999</v>
      </c>
      <c r="E29" s="13">
        <f>IF(OR(C29="",D29=""),"",ABS(C29-D29))</f>
        <v/>
      </c>
      <c r="F29" s="11" t="inlineStr">
        <is>
          <t>VGK</t>
        </is>
      </c>
      <c r="G29" s="12" t="n">
        <v>-225</v>
      </c>
      <c r="H29" s="14">
        <f>IF(OR(F29="",G29="",AND(I29&lt;&gt;"W",I29&lt;&gt;"L")),"",IF(I29="W",IF(G29&gt;0,G29/100,1),IF(G29&lt;0,G29/100,-1)))</f>
        <v/>
      </c>
      <c r="I29" s="11" t="inlineStr">
        <is>
          <t>W</t>
        </is>
      </c>
      <c r="J29" s="10" t="inlineStr">
        <is>
          <t>BOS 5, VGK 6</t>
        </is>
      </c>
      <c r="K29" s="10" t="inlineStr">
        <is>
          <t>ESPN BET closing</t>
        </is>
      </c>
    </row>
    <row r="30">
      <c r="A30" s="9" t="n">
        <v>45946</v>
      </c>
      <c r="B30" s="10" t="inlineStr">
        <is>
          <t>CAR @ ANA</t>
        </is>
      </c>
      <c r="C30" s="13" t="n">
        <v>100</v>
      </c>
      <c r="D30" s="13" t="n">
        <v>72.45999999999999</v>
      </c>
      <c r="E30" s="13">
        <f>IF(OR(C30="",D30=""),"",ABS(C30-D30))</f>
        <v/>
      </c>
      <c r="F30" s="11" t="inlineStr">
        <is>
          <t>CAR</t>
        </is>
      </c>
      <c r="G30" s="12" t="n">
        <v>-190</v>
      </c>
      <c r="H30" s="14">
        <f>IF(OR(F30="",G30="",AND(I30&lt;&gt;"W",I30&lt;&gt;"L")),"",IF(I30="W",IF(G30&gt;0,G30/100,1),IF(G30&lt;0,G30/100,-1)))</f>
        <v/>
      </c>
      <c r="I30" s="11" t="inlineStr">
        <is>
          <t>W</t>
        </is>
      </c>
      <c r="J30" s="10" t="inlineStr">
        <is>
          <t>CAR 4, ANA 1</t>
        </is>
      </c>
      <c r="K30" s="10" t="inlineStr">
        <is>
          <t>ESPN BET closing</t>
        </is>
      </c>
    </row>
    <row r="31">
      <c r="A31" s="9" t="n">
        <v>45946</v>
      </c>
      <c r="B31" s="10" t="inlineStr">
        <is>
          <t>PIT @ LAK</t>
        </is>
      </c>
      <c r="C31" s="13" t="n">
        <v>67.54000000000001</v>
      </c>
      <c r="D31" s="13" t="n">
        <v>74.66</v>
      </c>
      <c r="E31" s="13">
        <f>IF(OR(C31="",D31=""),"",ABS(C31-D31))</f>
        <v/>
      </c>
      <c r="F31" s="11" t="inlineStr">
        <is>
          <t>LAK</t>
        </is>
      </c>
      <c r="G31" s="12" t="n">
        <v>-210</v>
      </c>
      <c r="H31" s="14">
        <f>IF(OR(F31="",G31="",AND(I31&lt;&gt;"W",I31&lt;&gt;"L")),"",IF(I31="W",IF(G31&gt;0,G31/100,1),IF(G31&lt;0,G31/100,-1)))</f>
        <v/>
      </c>
      <c r="I31" s="11" t="inlineStr">
        <is>
          <t>L</t>
        </is>
      </c>
      <c r="J31" s="10" t="inlineStr">
        <is>
          <t>PIT 4, LAK 2</t>
        </is>
      </c>
      <c r="K31" s="10" t="inlineStr">
        <is>
          <t>ESPN BET closing</t>
        </is>
      </c>
    </row>
    <row r="32">
      <c r="A32" s="9" t="n">
        <v>45947</v>
      </c>
      <c r="B32" s="10" t="inlineStr">
        <is>
          <t>TBL @ DET</t>
        </is>
      </c>
      <c r="C32" s="13" t="n">
        <v>62.84</v>
      </c>
      <c r="D32" s="13" t="n">
        <v>73.29000000000001</v>
      </c>
      <c r="E32" s="13">
        <f>IF(OR(C32="",D32=""),"",ABS(C32-D32))</f>
        <v/>
      </c>
      <c r="F32" s="11" t="inlineStr">
        <is>
          <t>DET</t>
        </is>
      </c>
      <c r="G32" s="12" t="n">
        <v>110</v>
      </c>
      <c r="H32" s="14">
        <f>IF(OR(F32="",G32="",AND(I32&lt;&gt;"W",I32&lt;&gt;"L")),"",IF(I32="W",IF(G32&gt;0,G32/100,1),IF(G32&lt;0,G32/100,-1)))</f>
        <v/>
      </c>
      <c r="I32" s="11" t="inlineStr">
        <is>
          <t>W</t>
        </is>
      </c>
      <c r="J32" s="10" t="inlineStr">
        <is>
          <t>TBL 1, DET 2</t>
        </is>
      </c>
      <c r="K32" s="10" t="inlineStr">
        <is>
          <t>ESPN BET closing</t>
        </is>
      </c>
    </row>
    <row r="33">
      <c r="A33" s="9" t="n">
        <v>45947</v>
      </c>
      <c r="B33" s="10" t="inlineStr">
        <is>
          <t>MIN @ WSH</t>
        </is>
      </c>
      <c r="C33" s="13" t="n">
        <v>70.48</v>
      </c>
      <c r="D33" s="13" t="n">
        <v>77.16</v>
      </c>
      <c r="E33" s="13">
        <f>IF(OR(C33="",D33=""),"",ABS(C33-D33))</f>
        <v/>
      </c>
      <c r="F33" s="11" t="inlineStr">
        <is>
          <t>WSH</t>
        </is>
      </c>
      <c r="G33" s="12" t="n">
        <v>-125</v>
      </c>
      <c r="H33" s="14">
        <f>IF(OR(F33="",G33="",AND(I33&lt;&gt;"W",I33&lt;&gt;"L")),"",IF(I33="W",IF(G33&gt;0,G33/100,1),IF(G33&lt;0,G33/100,-1)))</f>
        <v/>
      </c>
      <c r="I33" s="11" t="inlineStr">
        <is>
          <t>W</t>
        </is>
      </c>
      <c r="J33" s="10" t="inlineStr">
        <is>
          <t>MIN 1, WSH 5</t>
        </is>
      </c>
      <c r="K33" s="10" t="inlineStr">
        <is>
          <t>ESPN BET closing</t>
        </is>
      </c>
    </row>
    <row r="34">
      <c r="A34" s="9" t="n">
        <v>45947</v>
      </c>
      <c r="B34" s="10" t="inlineStr">
        <is>
          <t>VAN @ CHI</t>
        </is>
      </c>
      <c r="C34" s="13" t="n">
        <v>74.54000000000001</v>
      </c>
      <c r="D34" s="13" t="n">
        <v>87.36</v>
      </c>
      <c r="E34" s="13">
        <f>IF(OR(C34="",D34=""),"",ABS(C34-D34))</f>
        <v/>
      </c>
      <c r="F34" s="11" t="inlineStr">
        <is>
          <t>CHI</t>
        </is>
      </c>
      <c r="G34" s="12" t="n">
        <v>110</v>
      </c>
      <c r="H34" s="14">
        <f>IF(OR(F34="",G34="",AND(I34&lt;&gt;"W",I34&lt;&gt;"L")),"",IF(I34="W",IF(G34&gt;0,G34/100,1),IF(G34&lt;0,G34/100,-1)))</f>
        <v/>
      </c>
      <c r="I34" s="11" t="inlineStr">
        <is>
          <t>L</t>
        </is>
      </c>
      <c r="J34" s="10" t="inlineStr">
        <is>
          <t>VAN 3, CHI 2</t>
        </is>
      </c>
      <c r="K34" s="10" t="inlineStr">
        <is>
          <t>ESPN BET closing</t>
        </is>
      </c>
    </row>
    <row r="35">
      <c r="A35" s="9" t="n">
        <v>45947</v>
      </c>
      <c r="B35" s="10" t="inlineStr">
        <is>
          <t>SJS @ UTA</t>
        </is>
      </c>
      <c r="C35" s="13" t="n">
        <v>39.25</v>
      </c>
      <c r="D35" s="13" t="n">
        <v>72.31</v>
      </c>
      <c r="E35" s="13">
        <f>IF(OR(C35="",D35=""),"",ABS(C35-D35))</f>
        <v/>
      </c>
      <c r="F35" s="11" t="inlineStr">
        <is>
          <t>UTA</t>
        </is>
      </c>
      <c r="G35" s="12" t="n">
        <v>-260</v>
      </c>
      <c r="H35" s="14">
        <f>IF(OR(F35="",G35="",AND(I35&lt;&gt;"W",I35&lt;&gt;"L")),"",IF(I35="W",IF(G35&gt;0,G35/100,1),IF(G35&lt;0,G35/100,-1)))</f>
        <v/>
      </c>
      <c r="I35" s="11" t="inlineStr">
        <is>
          <t>W</t>
        </is>
      </c>
      <c r="J35" s="10" t="inlineStr">
        <is>
          <t>SJS 3, UTA 6</t>
        </is>
      </c>
      <c r="K35" s="10" t="inlineStr">
        <is>
          <t>ESPN BET closing</t>
        </is>
      </c>
    </row>
    <row r="36">
      <c r="A36" s="9" t="n">
        <v>45948</v>
      </c>
      <c r="B36" s="10" t="inlineStr">
        <is>
          <t>FLA @ BUF</t>
        </is>
      </c>
      <c r="C36" s="13" t="n">
        <v>60.74</v>
      </c>
      <c r="D36" s="13" t="n">
        <v>69.11</v>
      </c>
      <c r="E36" s="13">
        <f>IF(OR(C36="",D36=""),"",ABS(C36-D36))</f>
        <v/>
      </c>
      <c r="F36" s="11" t="inlineStr">
        <is>
          <t>BUF</t>
        </is>
      </c>
      <c r="G36" s="12" t="n">
        <v>130</v>
      </c>
      <c r="H36" s="14">
        <f>IF(OR(F36="",G36="",AND(I36&lt;&gt;"W",I36&lt;&gt;"L")),"",IF(I36="W",IF(G36&gt;0,G36/100,1),IF(G36&lt;0,G36/100,-1)))</f>
        <v/>
      </c>
      <c r="I36" s="11" t="inlineStr">
        <is>
          <t>W</t>
        </is>
      </c>
      <c r="J36" s="10" t="inlineStr">
        <is>
          <t>FLA 0, BUF 3</t>
        </is>
      </c>
      <c r="K36" s="10" t="inlineStr">
        <is>
          <t>ESPN BET closing</t>
        </is>
      </c>
    </row>
    <row r="37">
      <c r="A37" s="9" t="n">
        <v>45948</v>
      </c>
      <c r="B37" s="10" t="inlineStr">
        <is>
          <t>NYI @ OTT</t>
        </is>
      </c>
      <c r="C37" s="13" t="n">
        <v>69.59999999999999</v>
      </c>
      <c r="D37" s="13" t="n">
        <v>68.23999999999999</v>
      </c>
      <c r="E37" s="13">
        <f>IF(OR(C37="",D37=""),"",ABS(C37-D37))</f>
        <v/>
      </c>
      <c r="F37" s="11" t="inlineStr">
        <is>
          <t>NYI</t>
        </is>
      </c>
      <c r="G37" s="12" t="n">
        <v>120</v>
      </c>
      <c r="H37" s="14">
        <f>IF(OR(F37="",G37="",AND(I37&lt;&gt;"W",I37&lt;&gt;"L")),"",IF(I37="W",IF(G37&gt;0,G37/100,1),IF(G37&lt;0,G37/100,-1)))</f>
        <v/>
      </c>
      <c r="I37" s="11" t="inlineStr">
        <is>
          <t>W</t>
        </is>
      </c>
      <c r="J37" s="10" t="inlineStr">
        <is>
          <t>NYI 5, OTT 4</t>
        </is>
      </c>
      <c r="K37" s="10" t="inlineStr">
        <is>
          <t>ESPN BET closing</t>
        </is>
      </c>
    </row>
    <row r="38">
      <c r="A38" s="9" t="n">
        <v>45948</v>
      </c>
      <c r="B38" s="10" t="inlineStr">
        <is>
          <t>EDM @ NJD</t>
        </is>
      </c>
      <c r="C38" s="13" t="n">
        <v>70.40000000000001</v>
      </c>
      <c r="D38" s="13" t="n">
        <v>79.26000000000001</v>
      </c>
      <c r="E38" s="13">
        <f>IF(OR(C38="",D38=""),"",ABS(C38-D38))</f>
        <v/>
      </c>
      <c r="F38" s="11" t="inlineStr">
        <is>
          <t>NJD</t>
        </is>
      </c>
      <c r="G38" s="12" t="n">
        <v>-105</v>
      </c>
      <c r="H38" s="14">
        <f>IF(OR(F38="",G38="",AND(I38&lt;&gt;"W",I38&lt;&gt;"L")),"",IF(I38="W",IF(G38&gt;0,G38/100,1),IF(G38&lt;0,G38/100,-1)))</f>
        <v/>
      </c>
      <c r="I38" s="11" t="inlineStr">
        <is>
          <t>W</t>
        </is>
      </c>
      <c r="J38" s="10" t="inlineStr">
        <is>
          <t>EDM 3, NJD 5</t>
        </is>
      </c>
      <c r="K38" s="10" t="inlineStr">
        <is>
          <t>ESPN BET closing</t>
        </is>
      </c>
    </row>
    <row r="39">
      <c r="A39" s="9" t="n">
        <v>45948</v>
      </c>
      <c r="B39" s="10" t="inlineStr">
        <is>
          <t>SEA @ TOR</t>
        </is>
      </c>
      <c r="C39" s="13" t="n">
        <v>71.76000000000001</v>
      </c>
      <c r="D39" s="13" t="n">
        <v>70.81</v>
      </c>
      <c r="E39" s="13">
        <f>IF(OR(C39="",D39=""),"",ABS(C39-D39))</f>
        <v/>
      </c>
      <c r="F39" s="11" t="inlineStr">
        <is>
          <t>SEA</t>
        </is>
      </c>
      <c r="G39" s="12" t="n">
        <v>170</v>
      </c>
      <c r="H39" s="14">
        <f>IF(OR(F39="",G39="",AND(I39&lt;&gt;"W",I39&lt;&gt;"L")),"",IF(I39="W",IF(G39&gt;0,G39/100,1),IF(G39&lt;0,G39/100,-1)))</f>
        <v/>
      </c>
      <c r="I39" s="11" t="inlineStr">
        <is>
          <t>W</t>
        </is>
      </c>
      <c r="J39" s="10" t="inlineStr">
        <is>
          <t>SEA 4, TOR 3</t>
        </is>
      </c>
      <c r="K39" s="10" t="inlineStr">
        <is>
          <t>ESPN BET closing</t>
        </is>
      </c>
    </row>
    <row r="40">
      <c r="A40" s="9" t="n">
        <v>45948</v>
      </c>
      <c r="B40" s="10" t="inlineStr">
        <is>
          <t>NYR @ MTL</t>
        </is>
      </c>
      <c r="C40" s="13" t="n">
        <v>69.19</v>
      </c>
      <c r="D40" s="13" t="n">
        <v>74.40000000000001</v>
      </c>
      <c r="E40" s="13">
        <f>IF(OR(C40="",D40=""),"",ABS(C40-D40))</f>
        <v/>
      </c>
      <c r="F40" s="11" t="inlineStr">
        <is>
          <t>MTL</t>
        </is>
      </c>
      <c r="G40" s="12" t="n">
        <v>-130</v>
      </c>
      <c r="H40" s="14">
        <f>IF(OR(F40="",G40="",AND(I40&lt;&gt;"W",I40&lt;&gt;"L")),"",IF(I40="W",IF(G40&gt;0,G40/100,1),IF(G40&lt;0,G40/100,-1)))</f>
        <v/>
      </c>
      <c r="I40" s="11" t="inlineStr">
        <is>
          <t>L</t>
        </is>
      </c>
      <c r="J40" s="10" t="inlineStr">
        <is>
          <t>NYR 4, MTL 3</t>
        </is>
      </c>
      <c r="K40" s="10" t="inlineStr">
        <is>
          <t>ESPN BET closing</t>
        </is>
      </c>
    </row>
    <row r="41">
      <c r="A41" s="9" t="n">
        <v>45948</v>
      </c>
      <c r="B41" s="10" t="inlineStr">
        <is>
          <t>MIN @ PHI</t>
        </is>
      </c>
      <c r="C41" s="13" t="n">
        <v>44.67</v>
      </c>
      <c r="D41" s="13" t="n">
        <v>62.32</v>
      </c>
      <c r="E41" s="13">
        <f>IF(OR(C41="",D41=""),"",ABS(C41-D41))</f>
        <v/>
      </c>
      <c r="F41" s="11" t="inlineStr">
        <is>
          <t>PHI</t>
        </is>
      </c>
      <c r="G41" s="12" t="n">
        <v>-120</v>
      </c>
      <c r="H41" s="14">
        <f>IF(OR(F41="",G41="",AND(I41&lt;&gt;"W",I41&lt;&gt;"L")),"",IF(I41="W",IF(G41&gt;0,G41/100,1),IF(G41&lt;0,G41/100,-1)))</f>
        <v/>
      </c>
      <c r="I41" s="11" t="inlineStr">
        <is>
          <t>W</t>
        </is>
      </c>
      <c r="J41" s="10" t="inlineStr">
        <is>
          <t>MIN 1, PHI 2</t>
        </is>
      </c>
      <c r="K41" s="10" t="inlineStr">
        <is>
          <t>ESPN BET closing</t>
        </is>
      </c>
    </row>
    <row r="42">
      <c r="A42" s="9" t="n">
        <v>45948</v>
      </c>
      <c r="B42" s="10" t="inlineStr">
        <is>
          <t>TBL @ CBJ</t>
        </is>
      </c>
      <c r="C42" s="13" t="n">
        <v>69.47</v>
      </c>
      <c r="D42" s="13" t="n">
        <v>51.31</v>
      </c>
      <c r="E42" s="13">
        <f>IF(OR(C42="",D42=""),"",ABS(C42-D42))</f>
        <v/>
      </c>
      <c r="F42" s="11" t="inlineStr">
        <is>
          <t>TBL</t>
        </is>
      </c>
      <c r="G42" s="12" t="n">
        <v>110</v>
      </c>
      <c r="H42" s="14">
        <f>IF(OR(F42="",G42="",AND(I42&lt;&gt;"W",I42&lt;&gt;"L")),"",IF(I42="W",IF(G42&gt;0,G42/100,1),IF(G42&lt;0,G42/100,-1)))</f>
        <v/>
      </c>
      <c r="I42" s="11" t="inlineStr">
        <is>
          <t>L</t>
        </is>
      </c>
      <c r="J42" s="10" t="inlineStr">
        <is>
          <t>TBL 2, CBJ 3</t>
        </is>
      </c>
      <c r="K42" s="10" t="inlineStr">
        <is>
          <t>ESPN BET closing</t>
        </is>
      </c>
    </row>
    <row r="43">
      <c r="A43" s="9" t="n">
        <v>45948</v>
      </c>
      <c r="B43" s="10" t="inlineStr">
        <is>
          <t>DAL @ STL</t>
        </is>
      </c>
      <c r="C43" s="13" t="n">
        <v>65.45999999999999</v>
      </c>
      <c r="D43" s="13" t="n">
        <v>52.64</v>
      </c>
      <c r="E43" s="13">
        <f>IF(OR(C43="",D43=""),"",ABS(C43-D43))</f>
        <v/>
      </c>
      <c r="F43" s="11" t="inlineStr">
        <is>
          <t>DAL</t>
        </is>
      </c>
      <c r="G43" s="12" t="n">
        <v>-125</v>
      </c>
      <c r="H43" s="14">
        <f>IF(OR(F43="",G43="",AND(I43&lt;&gt;"W",I43&lt;&gt;"L")),"",IF(I43="W",IF(G43&gt;0,G43/100,1),IF(G43&lt;0,G43/100,-1)))</f>
        <v/>
      </c>
      <c r="I43" s="11" t="inlineStr">
        <is>
          <t>L</t>
        </is>
      </c>
      <c r="J43" s="10" t="inlineStr">
        <is>
          <t>DAL 1, STL 3</t>
        </is>
      </c>
      <c r="K43" s="10" t="inlineStr">
        <is>
          <t>ESPN BET closing</t>
        </is>
      </c>
    </row>
    <row r="44">
      <c r="A44" s="9" t="n">
        <v>45948</v>
      </c>
      <c r="B44" s="10" t="inlineStr">
        <is>
          <t>NSH @ WPG</t>
        </is>
      </c>
      <c r="C44" s="13" t="n">
        <v>65.59999999999999</v>
      </c>
      <c r="D44" s="13" t="n">
        <v>77.68000000000001</v>
      </c>
      <c r="E44" s="13">
        <f>IF(OR(C44="",D44=""),"",ABS(C44-D44))</f>
        <v/>
      </c>
      <c r="F44" s="11" t="inlineStr">
        <is>
          <t>WPG</t>
        </is>
      </c>
      <c r="G44" s="12" t="n">
        <v>-185</v>
      </c>
      <c r="H44" s="14">
        <f>IF(OR(F44="",G44="",AND(I44&lt;&gt;"W",I44&lt;&gt;"L")),"",IF(I44="W",IF(G44&gt;0,G44/100,1),IF(G44&lt;0,G44/100,-1)))</f>
        <v/>
      </c>
      <c r="I44" s="11" t="inlineStr">
        <is>
          <t>W</t>
        </is>
      </c>
      <c r="J44" s="10" t="inlineStr">
        <is>
          <t>NSH 1, WPG 4</t>
        </is>
      </c>
      <c r="K44" s="10" t="inlineStr">
        <is>
          <t>ESPN BET closing</t>
        </is>
      </c>
    </row>
    <row r="45">
      <c r="A45" s="9" t="n">
        <v>45948</v>
      </c>
      <c r="B45" s="10" t="inlineStr">
        <is>
          <t>BOS @ COL</t>
        </is>
      </c>
      <c r="C45" s="13" t="n">
        <v>62.88</v>
      </c>
      <c r="D45" s="13" t="n">
        <v>88.69</v>
      </c>
      <c r="E45" s="13">
        <f>IF(OR(C45="",D45=""),"",ABS(C45-D45))</f>
        <v/>
      </c>
      <c r="F45" s="11" t="inlineStr">
        <is>
          <t>COL</t>
        </is>
      </c>
      <c r="G45" s="12" t="n">
        <v>-270</v>
      </c>
      <c r="H45" s="14">
        <f>IF(OR(F45="",G45="",AND(I45&lt;&gt;"W",I45&lt;&gt;"L")),"",IF(I45="W",IF(G45&gt;0,G45/100,1),IF(G45&lt;0,G45/100,-1)))</f>
        <v/>
      </c>
      <c r="I45" s="11" t="inlineStr">
        <is>
          <t>W</t>
        </is>
      </c>
      <c r="J45" s="10" t="inlineStr">
        <is>
          <t>BOS 1, COL 4</t>
        </is>
      </c>
      <c r="K45" s="10" t="inlineStr">
        <is>
          <t>ESPN BET closing</t>
        </is>
      </c>
    </row>
    <row r="46">
      <c r="A46" s="9" t="n">
        <v>45948</v>
      </c>
      <c r="B46" s="10" t="inlineStr">
        <is>
          <t>CAR @ LAK</t>
        </is>
      </c>
      <c r="C46" s="13" t="n">
        <v>86.62</v>
      </c>
      <c r="D46" s="13" t="n">
        <v>71.48</v>
      </c>
      <c r="E46" s="13">
        <f>IF(OR(C46="",D46=""),"",ABS(C46-D46))</f>
        <v/>
      </c>
      <c r="F46" s="11" t="inlineStr">
        <is>
          <t>CAR</t>
        </is>
      </c>
      <c r="G46" s="12" t="n">
        <v>-135</v>
      </c>
      <c r="H46" s="14">
        <f>IF(OR(F46="",G46="",AND(I46&lt;&gt;"W",I46&lt;&gt;"L")),"",IF(I46="W",IF(G46&gt;0,G46/100,1),IF(G46&lt;0,G46/100,-1)))</f>
        <v/>
      </c>
      <c r="I46" s="11" t="inlineStr">
        <is>
          <t>W</t>
        </is>
      </c>
      <c r="J46" s="10" t="inlineStr">
        <is>
          <t>CAR 4, LAK 3</t>
        </is>
      </c>
      <c r="K46" s="10" t="inlineStr">
        <is>
          <t>ESPN BET closing</t>
        </is>
      </c>
    </row>
    <row r="47">
      <c r="A47" s="9" t="n">
        <v>45948</v>
      </c>
      <c r="B47" s="10" t="inlineStr">
        <is>
          <t>CGY @ VGK</t>
        </is>
      </c>
      <c r="C47" s="13" t="n">
        <v>67.69</v>
      </c>
      <c r="D47" s="13" t="n">
        <v>77.12</v>
      </c>
      <c r="E47" s="13">
        <f>IF(OR(C47="",D47=""),"",ABS(C47-D47))</f>
        <v/>
      </c>
      <c r="F47" s="11" t="inlineStr">
        <is>
          <t>VGK</t>
        </is>
      </c>
      <c r="G47" s="12" t="n">
        <v>-260</v>
      </c>
      <c r="H47" s="14">
        <f>IF(OR(F47="",G47="",AND(I47&lt;&gt;"W",I47&lt;&gt;"L")),"",IF(I47="W",IF(G47&gt;0,G47/100,1),IF(G47&lt;0,G47/100,-1)))</f>
        <v/>
      </c>
      <c r="I47" s="11" t="inlineStr">
        <is>
          <t>W</t>
        </is>
      </c>
      <c r="J47" s="10" t="inlineStr">
        <is>
          <t>CGY 1, VGK 6</t>
        </is>
      </c>
      <c r="K47" s="10" t="inlineStr">
        <is>
          <t>ESPN BET closing</t>
        </is>
      </c>
    </row>
    <row r="48">
      <c r="A48" s="9" t="n">
        <v>45948</v>
      </c>
      <c r="B48" s="10" t="inlineStr">
        <is>
          <t>PIT @ SJS</t>
        </is>
      </c>
      <c r="C48" s="13" t="n">
        <v>68.52</v>
      </c>
      <c r="D48" s="13" t="n">
        <v>52.97</v>
      </c>
      <c r="E48" s="13">
        <f>IF(OR(C48="",D48=""),"",ABS(C48-D48))</f>
        <v/>
      </c>
      <c r="F48" s="11" t="inlineStr">
        <is>
          <t>PIT</t>
        </is>
      </c>
      <c r="G48" s="12" t="n">
        <v>-165</v>
      </c>
      <c r="H48" s="14">
        <f>IF(OR(F48="",G48="",AND(I48&lt;&gt;"W",I48&lt;&gt;"L")),"",IF(I48="W",IF(G48&gt;0,G48/100,1),IF(G48&lt;0,G48/100,-1)))</f>
        <v/>
      </c>
      <c r="I48" s="11" t="inlineStr">
        <is>
          <t>W</t>
        </is>
      </c>
      <c r="J48" s="10" t="inlineStr">
        <is>
          <t>PIT 3, SJS 0</t>
        </is>
      </c>
      <c r="K48" s="10" t="inlineStr">
        <is>
          <t>ESPN BET closing</t>
        </is>
      </c>
    </row>
    <row r="49">
      <c r="A49" s="9" t="n">
        <v>45949</v>
      </c>
      <c r="B49" s="10" t="inlineStr">
        <is>
          <t>VAN @ WSH</t>
        </is>
      </c>
      <c r="C49" s="13" t="n">
        <v>70.48</v>
      </c>
      <c r="D49" s="13" t="n">
        <v>95.33</v>
      </c>
      <c r="E49" s="13">
        <f>IF(OR(C49="",D49=""),"",ABS(C49-D49))</f>
        <v/>
      </c>
      <c r="F49" s="11" t="inlineStr">
        <is>
          <t>WSH</t>
        </is>
      </c>
      <c r="G49" s="12" t="n">
        <v>-155</v>
      </c>
      <c r="H49" s="14">
        <f>IF(OR(F49="",G49="",AND(I49&lt;&gt;"W",I49&lt;&gt;"L")),"",IF(I49="W",IF(G49&gt;0,G49/100,1),IF(G49&lt;0,G49/100,-1)))</f>
        <v/>
      </c>
      <c r="I49" s="11" t="inlineStr">
        <is>
          <t>L</t>
        </is>
      </c>
      <c r="J49" s="10" t="inlineStr">
        <is>
          <t>VAN 4, WSH 3</t>
        </is>
      </c>
      <c r="K49" s="10" t="inlineStr">
        <is>
          <t>ESPN BET closing</t>
        </is>
      </c>
    </row>
    <row r="50">
      <c r="A50" s="9" t="n">
        <v>45949</v>
      </c>
      <c r="B50" s="10" t="inlineStr">
        <is>
          <t>EDM @ DET</t>
        </is>
      </c>
      <c r="C50" s="13" t="n">
        <v>64.8</v>
      </c>
      <c r="D50" s="13" t="n">
        <v>70.53</v>
      </c>
      <c r="E50" s="13">
        <f>IF(OR(C50="",D50=""),"",ABS(C50-D50))</f>
        <v/>
      </c>
      <c r="F50" s="11" t="inlineStr">
        <is>
          <t>DET</t>
        </is>
      </c>
      <c r="G50" s="12" t="n">
        <v>110</v>
      </c>
      <c r="H50" s="14">
        <f>IF(OR(F50="",G50="",AND(I50&lt;&gt;"W",I50&lt;&gt;"L")),"",IF(I50="W",IF(G50&gt;0,G50/100,1),IF(G50&lt;0,G50/100,-1)))</f>
        <v/>
      </c>
      <c r="I50" s="11" t="inlineStr">
        <is>
          <t>W</t>
        </is>
      </c>
      <c r="J50" s="10" t="inlineStr">
        <is>
          <t>EDM 2, DET 4</t>
        </is>
      </c>
      <c r="K50" s="10" t="inlineStr">
        <is>
          <t>ESPN BET closing</t>
        </is>
      </c>
    </row>
    <row r="51">
      <c r="A51" s="9" t="n">
        <v>45949</v>
      </c>
      <c r="B51" s="10" t="inlineStr">
        <is>
          <t>ANA @ CHI</t>
        </is>
      </c>
      <c r="C51" s="13" t="n">
        <v>53.38</v>
      </c>
      <c r="D51" s="13" t="n">
        <v>69.52</v>
      </c>
      <c r="E51" s="13">
        <f>IF(OR(C51="",D51=""),"",ABS(C51-D51))</f>
        <v/>
      </c>
      <c r="F51" s="11" t="inlineStr">
        <is>
          <t>CHI</t>
        </is>
      </c>
      <c r="G51" s="12" t="n">
        <v>100</v>
      </c>
      <c r="H51" s="14">
        <f>IF(OR(F51="",G51="",AND(I51&lt;&gt;"W",I51&lt;&gt;"L")),"",IF(I51="W",IF(G51&gt;0,G51/100,1),IF(G51&lt;0,G51/100,-1)))</f>
        <v/>
      </c>
      <c r="I51" s="11" t="inlineStr">
        <is>
          <t>W</t>
        </is>
      </c>
      <c r="J51" s="10" t="inlineStr">
        <is>
          <t>ANA 1, CHI 2</t>
        </is>
      </c>
      <c r="K51" s="10" t="inlineStr">
        <is>
          <t>ESPN BET closing</t>
        </is>
      </c>
    </row>
    <row r="52">
      <c r="A52" s="9" t="n">
        <v>45949</v>
      </c>
      <c r="B52" s="10" t="inlineStr">
        <is>
          <t>BOS @ UTA</t>
        </is>
      </c>
      <c r="C52" s="13" t="n">
        <v>45.58</v>
      </c>
      <c r="D52" s="13" t="n">
        <v>87.03</v>
      </c>
      <c r="E52" s="13">
        <f>IF(OR(C52="",D52=""),"",ABS(C52-D52))</f>
        <v/>
      </c>
      <c r="F52" s="11" t="inlineStr">
        <is>
          <t>UTA</t>
        </is>
      </c>
      <c r="G52" s="12" t="n">
        <v>-215</v>
      </c>
      <c r="H52" s="14">
        <f>IF(OR(F52="",G52="",AND(I52&lt;&gt;"W",I52&lt;&gt;"L")),"",IF(I52="W",IF(G52&gt;0,G52/100,1),IF(G52&lt;0,G52/100,-1)))</f>
        <v/>
      </c>
      <c r="I52" s="11" t="inlineStr">
        <is>
          <t>W</t>
        </is>
      </c>
      <c r="J52" s="10" t="inlineStr">
        <is>
          <t>BOS 2, UTA 3</t>
        </is>
      </c>
      <c r="K52" s="10" t="inlineStr">
        <is>
          <t>ESPN BET closing</t>
        </is>
      </c>
    </row>
    <row r="53">
      <c r="A53" s="9" t="n">
        <v>45950</v>
      </c>
      <c r="B53" s="10" t="inlineStr">
        <is>
          <t>MIN @ NYR</t>
        </is>
      </c>
      <c r="C53" s="13" t="n">
        <v>67.7</v>
      </c>
      <c r="D53" s="13" t="n">
        <v>73.84</v>
      </c>
      <c r="E53" s="13">
        <f>IF(OR(C53="",D53=""),"",ABS(C53-D53))</f>
        <v/>
      </c>
      <c r="F53" s="11" t="inlineStr">
        <is>
          <t>NYR</t>
        </is>
      </c>
      <c r="G53" s="12" t="n">
        <v>-155</v>
      </c>
      <c r="H53" s="14">
        <f>IF(OR(F53="",G53="",AND(I53&lt;&gt;"W",I53&lt;&gt;"L")),"",IF(I53="W",IF(G53&gt;0,G53/100,1),IF(G53&lt;0,G53/100,-1)))</f>
        <v/>
      </c>
      <c r="I53" s="11" t="inlineStr">
        <is>
          <t>L</t>
        </is>
      </c>
      <c r="J53" s="10" t="inlineStr">
        <is>
          <t>MIN 3, NYR 1</t>
        </is>
      </c>
      <c r="K53" s="10" t="inlineStr">
        <is>
          <t>ESPN BET closing</t>
        </is>
      </c>
    </row>
    <row r="54">
      <c r="A54" s="9" t="n">
        <v>45950</v>
      </c>
      <c r="B54" s="10" t="inlineStr">
        <is>
          <t>SEA @ PHI</t>
        </is>
      </c>
      <c r="C54" s="13" t="n">
        <v>72.38</v>
      </c>
      <c r="D54" s="13" t="n">
        <v>72.3</v>
      </c>
      <c r="E54" s="13">
        <f>IF(OR(C54="",D54=""),"",ABS(C54-D54))</f>
        <v/>
      </c>
      <c r="F54" s="11" t="inlineStr">
        <is>
          <t>SEA</t>
        </is>
      </c>
      <c r="G54" s="12" t="n">
        <v>120</v>
      </c>
      <c r="H54" s="14">
        <f>IF(OR(F54="",G54="",AND(I54&lt;&gt;"W",I54&lt;&gt;"L")),"",IF(I54="W",IF(G54&gt;0,G54/100,1),IF(G54&lt;0,G54/100,-1)))</f>
        <v/>
      </c>
      <c r="I54" s="11" t="inlineStr">
        <is>
          <t>L</t>
        </is>
      </c>
      <c r="J54" s="10" t="inlineStr">
        <is>
          <t>SEA 2, PHI 5</t>
        </is>
      </c>
      <c r="K54" s="10" t="inlineStr">
        <is>
          <t>ESPN BET closing</t>
        </is>
      </c>
    </row>
    <row r="55">
      <c r="A55" s="9" t="n">
        <v>45950</v>
      </c>
      <c r="B55" s="10" t="inlineStr">
        <is>
          <t>BUF @ MTL</t>
        </is>
      </c>
      <c r="C55" s="13" t="n">
        <v>80.87</v>
      </c>
      <c r="D55" s="13" t="n">
        <v>66.16</v>
      </c>
      <c r="E55" s="13">
        <f>IF(OR(C55="",D55=""),"",ABS(C55-D55))</f>
        <v/>
      </c>
      <c r="F55" s="11" t="inlineStr">
        <is>
          <t>BUF</t>
        </is>
      </c>
      <c r="G55" s="12" t="n">
        <v>120</v>
      </c>
      <c r="H55" s="14">
        <f>IF(OR(F55="",G55="",AND(I55&lt;&gt;"W",I55&lt;&gt;"L")),"",IF(I55="W",IF(G55&gt;0,G55/100,1),IF(G55&lt;0,G55/100,-1)))</f>
        <v/>
      </c>
      <c r="I55" s="11" t="inlineStr">
        <is>
          <t>L</t>
        </is>
      </c>
      <c r="J55" s="10" t="inlineStr">
        <is>
          <t>BUF 2, MTL 4</t>
        </is>
      </c>
      <c r="K55" s="10" t="inlineStr">
        <is>
          <t>ESPN BET closing</t>
        </is>
      </c>
    </row>
    <row r="56">
      <c r="A56" s="9" t="n">
        <v>45950</v>
      </c>
      <c r="B56" s="10" t="inlineStr">
        <is>
          <t>WPG @ CGY</t>
        </is>
      </c>
      <c r="C56" s="13" t="n">
        <v>72.79000000000001</v>
      </c>
      <c r="D56" s="13" t="n">
        <v>55.84</v>
      </c>
      <c r="E56" s="13">
        <f>IF(OR(C56="",D56=""),"",ABS(C56-D56))</f>
        <v/>
      </c>
      <c r="F56" s="11" t="inlineStr">
        <is>
          <t>WPG</t>
        </is>
      </c>
      <c r="G56" s="12" t="n">
        <v>-135</v>
      </c>
      <c r="H56" s="14">
        <f>IF(OR(F56="",G56="",AND(I56&lt;&gt;"W",I56&lt;&gt;"L")),"",IF(I56="W",IF(G56&gt;0,G56/100,1),IF(G56&lt;0,G56/100,-1)))</f>
        <v/>
      </c>
      <c r="I56" s="11" t="inlineStr">
        <is>
          <t>W</t>
        </is>
      </c>
      <c r="J56" s="10" t="inlineStr">
        <is>
          <t>WPG 2, CGY 1</t>
        </is>
      </c>
      <c r="K56" s="10" t="inlineStr">
        <is>
          <t>ESPN BET closing</t>
        </is>
      </c>
    </row>
    <row r="57">
      <c r="A57" s="9" t="n">
        <v>45950</v>
      </c>
      <c r="B57" s="10" t="inlineStr">
        <is>
          <t>CAR @ VGK</t>
        </is>
      </c>
      <c r="C57" s="13" t="n">
        <v>80.98999999999999</v>
      </c>
      <c r="D57" s="13" t="n">
        <v>84.16</v>
      </c>
      <c r="E57" s="13">
        <f>IF(OR(C57="",D57=""),"",ABS(C57-D57))</f>
        <v/>
      </c>
      <c r="F57" s="11" t="inlineStr">
        <is>
          <t>VGK</t>
        </is>
      </c>
      <c r="G57" s="12" t="n">
        <v>-105</v>
      </c>
      <c r="H57" s="14">
        <f>IF(OR(F57="",G57="",AND(I57&lt;&gt;"W",I57&lt;&gt;"L")),"",IF(I57="W",IF(G57&gt;0,G57/100,1),IF(G57&lt;0,G57/100,-1)))</f>
        <v/>
      </c>
      <c r="I57" s="11" t="inlineStr">
        <is>
          <t>W</t>
        </is>
      </c>
      <c r="J57" s="10" t="inlineStr">
        <is>
          <t>CAR 1, VGK 4</t>
        </is>
      </c>
      <c r="K57" s="10" t="inlineStr">
        <is>
          <t>ESPN BET closing</t>
        </is>
      </c>
    </row>
    <row r="58">
      <c r="A58" s="9" t="n">
        <v>45951</v>
      </c>
      <c r="B58" s="10" t="inlineStr">
        <is>
          <t>NJD @ TOR</t>
        </is>
      </c>
      <c r="C58" s="13" t="n">
        <v>75.2</v>
      </c>
      <c r="D58" s="13" t="n">
        <v>67.62</v>
      </c>
      <c r="E58" s="13">
        <f>IF(OR(C58="",D58=""),"",ABS(C58-D58))</f>
        <v/>
      </c>
      <c r="F58" s="11" t="inlineStr">
        <is>
          <t>NJD</t>
        </is>
      </c>
      <c r="G58" s="12" t="n">
        <v>100</v>
      </c>
      <c r="H58" s="14">
        <f>IF(OR(F58="",G58="",AND(I58&lt;&gt;"W",I58&lt;&gt;"L")),"",IF(I58="W",IF(G58&gt;0,G58/100,1),IF(G58&lt;0,G58/100,-1)))</f>
        <v/>
      </c>
      <c r="I58" s="11" t="inlineStr">
        <is>
          <t>W</t>
        </is>
      </c>
      <c r="J58" s="10" t="inlineStr">
        <is>
          <t>NJD 5, TOR 2</t>
        </is>
      </c>
      <c r="K58" s="10" t="inlineStr">
        <is>
          <t>ESPN BET closing</t>
        </is>
      </c>
    </row>
    <row r="59">
      <c r="A59" s="9" t="n">
        <v>45951</v>
      </c>
      <c r="B59" s="10" t="inlineStr">
        <is>
          <t>EDM @ OTT</t>
        </is>
      </c>
      <c r="C59" s="13" t="n">
        <v>59.69</v>
      </c>
      <c r="D59" s="13" t="n">
        <v>69.13</v>
      </c>
      <c r="E59" s="13">
        <f>IF(OR(C59="",D59=""),"",ABS(C59-D59))</f>
        <v/>
      </c>
      <c r="F59" s="11" t="inlineStr">
        <is>
          <t>OTT</t>
        </is>
      </c>
      <c r="G59" s="12" t="n">
        <v>110</v>
      </c>
      <c r="H59" s="14">
        <f>IF(OR(F59="",G59="",AND(I59&lt;&gt;"W",I59&lt;&gt;"L")),"",IF(I59="W",IF(G59&gt;0,G59/100,1),IF(G59&lt;0,G59/100,-1)))</f>
        <v/>
      </c>
      <c r="I59" s="11" t="inlineStr">
        <is>
          <t>L</t>
        </is>
      </c>
      <c r="J59" s="10" t="inlineStr">
        <is>
          <t>EDM 3, OTT 2</t>
        </is>
      </c>
      <c r="K59" s="10" t="inlineStr">
        <is>
          <t>ESPN BET closing</t>
        </is>
      </c>
    </row>
    <row r="60">
      <c r="A60" s="9" t="n">
        <v>45951</v>
      </c>
      <c r="B60" s="10" t="inlineStr">
        <is>
          <t>SJS @ NYI</t>
        </is>
      </c>
      <c r="C60" s="13" t="n">
        <v>66.33</v>
      </c>
      <c r="D60" s="13" t="n">
        <v>70.87</v>
      </c>
      <c r="E60" s="13">
        <f>IF(OR(C60="",D60=""),"",ABS(C60-D60))</f>
        <v/>
      </c>
      <c r="F60" s="11" t="inlineStr">
        <is>
          <t>NYI</t>
        </is>
      </c>
      <c r="G60" s="12" t="n">
        <v>-225</v>
      </c>
      <c r="H60" s="14">
        <f>IF(OR(F60="",G60="",AND(I60&lt;&gt;"W",I60&lt;&gt;"L")),"",IF(I60="W",IF(G60&gt;0,G60/100,1),IF(G60&lt;0,G60/100,-1)))</f>
        <v/>
      </c>
      <c r="I60" s="11" t="inlineStr">
        <is>
          <t>W</t>
        </is>
      </c>
      <c r="J60" s="10" t="inlineStr">
        <is>
          <t>SJS 3, NYI 4</t>
        </is>
      </c>
      <c r="K60" s="10" t="inlineStr">
        <is>
          <t>ESPN BET closing</t>
        </is>
      </c>
    </row>
    <row r="61">
      <c r="A61" s="9" t="n">
        <v>45951</v>
      </c>
      <c r="B61" s="10" t="inlineStr">
        <is>
          <t>VAN @ PIT</t>
        </is>
      </c>
      <c r="C61" s="13" t="n">
        <v>62.19</v>
      </c>
      <c r="D61" s="13" t="n">
        <v>73.67</v>
      </c>
      <c r="E61" s="13">
        <f>IF(OR(C61="",D61=""),"",ABS(C61-D61))</f>
        <v/>
      </c>
      <c r="F61" s="11" t="inlineStr">
        <is>
          <t>PIT</t>
        </is>
      </c>
      <c r="G61" s="12" t="n">
        <v>-105</v>
      </c>
      <c r="H61" s="14">
        <f>IF(OR(F61="",G61="",AND(I61&lt;&gt;"W",I61&lt;&gt;"L")),"",IF(I61="W",IF(G61&gt;0,G61/100,1),IF(G61&lt;0,G61/100,-1)))</f>
        <v/>
      </c>
      <c r="I61" s="11" t="inlineStr">
        <is>
          <t>W</t>
        </is>
      </c>
      <c r="J61" s="10" t="inlineStr">
        <is>
          <t>VAN 1, PIT 5</t>
        </is>
      </c>
      <c r="K61" s="10" t="inlineStr">
        <is>
          <t>ESPN BET closing</t>
        </is>
      </c>
    </row>
    <row r="62">
      <c r="A62" s="9" t="n">
        <v>45951</v>
      </c>
      <c r="B62" s="10" t="inlineStr">
        <is>
          <t>SEA @ WSH</t>
        </is>
      </c>
      <c r="C62" s="13" t="n">
        <v>57.35</v>
      </c>
      <c r="D62" s="13" t="n">
        <v>77.81</v>
      </c>
      <c r="E62" s="13">
        <f>IF(OR(C62="",D62=""),"",ABS(C62-D62))</f>
        <v/>
      </c>
      <c r="F62" s="11" t="inlineStr">
        <is>
          <t>WSH</t>
        </is>
      </c>
      <c r="G62" s="12" t="n">
        <v>-280</v>
      </c>
      <c r="H62" s="14">
        <f>IF(OR(F62="",G62="",AND(I62&lt;&gt;"W",I62&lt;&gt;"L")),"",IF(I62="W",IF(G62&gt;0,G62/100,1),IF(G62&lt;0,G62/100,-1)))</f>
        <v/>
      </c>
      <c r="I62" s="11" t="inlineStr">
        <is>
          <t>W</t>
        </is>
      </c>
      <c r="J62" s="10" t="inlineStr">
        <is>
          <t>SEA 1, WSH 4</t>
        </is>
      </c>
      <c r="K62" s="10" t="inlineStr">
        <is>
          <t>ESPN BET closing</t>
        </is>
      </c>
    </row>
    <row r="63">
      <c r="A63" s="9" t="n">
        <v>45951</v>
      </c>
      <c r="B63" s="10" t="inlineStr">
        <is>
          <t>FLA @ BOS</t>
        </is>
      </c>
      <c r="C63" s="13" t="n">
        <v>59.13</v>
      </c>
      <c r="D63" s="13" t="n">
        <v>62.09</v>
      </c>
      <c r="E63" s="13">
        <f>IF(OR(C63="",D63=""),"",ABS(C63-D63))</f>
        <v/>
      </c>
      <c r="F63" s="11" t="inlineStr">
        <is>
          <t>BOS</t>
        </is>
      </c>
      <c r="G63" s="12" t="n">
        <v>135</v>
      </c>
      <c r="H63" s="14">
        <f>IF(OR(F63="",G63="",AND(I63&lt;&gt;"W",I63&lt;&gt;"L")),"",IF(I63="W",IF(G63&gt;0,G63/100,1),IF(G63&lt;0,G63/100,-1)))</f>
        <v/>
      </c>
      <c r="I63" s="11" t="inlineStr">
        <is>
          <t>L</t>
        </is>
      </c>
      <c r="J63" s="10" t="inlineStr">
        <is>
          <t>FLA 4, BOS 3</t>
        </is>
      </c>
      <c r="K63" s="10" t="inlineStr">
        <is>
          <t>ESPN BET closing</t>
        </is>
      </c>
    </row>
    <row r="64">
      <c r="A64" s="9" t="n">
        <v>45951</v>
      </c>
      <c r="B64" s="10" t="inlineStr">
        <is>
          <t>LAK @ STL</t>
        </is>
      </c>
      <c r="C64" s="13" t="n">
        <v>59.01</v>
      </c>
      <c r="D64" s="13" t="n">
        <v>76.56999999999999</v>
      </c>
      <c r="E64" s="13">
        <f>IF(OR(C64="",D64=""),"",ABS(C64-D64))</f>
        <v/>
      </c>
      <c r="F64" s="11" t="inlineStr">
        <is>
          <t>STL</t>
        </is>
      </c>
      <c r="G64" s="12" t="n">
        <v>-125</v>
      </c>
      <c r="H64" s="14">
        <f>IF(OR(F64="",G64="",AND(I64&lt;&gt;"W",I64&lt;&gt;"L")),"",IF(I64="W",IF(G64&gt;0,G64/100,1),IF(G64&lt;0,G64/100,-1)))</f>
        <v/>
      </c>
      <c r="I64" s="11" t="inlineStr">
        <is>
          <t>L</t>
        </is>
      </c>
      <c r="J64" s="10" t="inlineStr">
        <is>
          <t>LAK 2, STL 1</t>
        </is>
      </c>
      <c r="K64" s="10" t="inlineStr">
        <is>
          <t>ESPN BET closing</t>
        </is>
      </c>
    </row>
    <row r="65">
      <c r="A65" s="9" t="n">
        <v>45951</v>
      </c>
      <c r="B65" s="10" t="inlineStr">
        <is>
          <t>ANA @ NSH</t>
        </is>
      </c>
      <c r="C65" s="13" t="n">
        <v>69.15000000000001</v>
      </c>
      <c r="D65" s="13" t="n">
        <v>67.20999999999999</v>
      </c>
      <c r="E65" s="13">
        <f>IF(OR(C65="",D65=""),"",ABS(C65-D65))</f>
        <v/>
      </c>
      <c r="F65" s="11" t="inlineStr">
        <is>
          <t>ANA</t>
        </is>
      </c>
      <c r="G65" s="12" t="n">
        <v>115</v>
      </c>
      <c r="H65" s="14">
        <f>IF(OR(F65="",G65="",AND(I65&lt;&gt;"W",I65&lt;&gt;"L")),"",IF(I65="W",IF(G65&gt;0,G65/100,1),IF(G65&lt;0,G65/100,-1)))</f>
        <v/>
      </c>
      <c r="I65" s="11" t="inlineStr">
        <is>
          <t>W</t>
        </is>
      </c>
      <c r="J65" s="10" t="inlineStr">
        <is>
          <t>ANA 5, NSH 2</t>
        </is>
      </c>
      <c r="K65" s="10" t="inlineStr">
        <is>
          <t>ESPN BET closing</t>
        </is>
      </c>
    </row>
    <row r="66">
      <c r="A66" s="9" t="n">
        <v>45951</v>
      </c>
      <c r="B66" s="10" t="inlineStr">
        <is>
          <t>CBJ @ DAL</t>
        </is>
      </c>
      <c r="C66" s="13" t="n">
        <v>76.01000000000001</v>
      </c>
      <c r="D66" s="13" t="n">
        <v>63.43</v>
      </c>
      <c r="E66" s="13">
        <f>IF(OR(C66="",D66=""),"",ABS(C66-D66))</f>
        <v/>
      </c>
      <c r="F66" s="11" t="inlineStr">
        <is>
          <t>CBJ</t>
        </is>
      </c>
      <c r="G66" s="12" t="n">
        <v>155</v>
      </c>
      <c r="H66" s="14">
        <f>IF(OR(F66="",G66="",AND(I66&lt;&gt;"W",I66&lt;&gt;"L")),"",IF(I66="W",IF(G66&gt;0,G66/100,1),IF(G66&lt;0,G66/100,-1)))</f>
        <v/>
      </c>
      <c r="I66" s="11" t="inlineStr">
        <is>
          <t>W</t>
        </is>
      </c>
      <c r="J66" s="10" t="inlineStr">
        <is>
          <t>CBJ 5, DAL 1</t>
        </is>
      </c>
      <c r="K66" s="10" t="inlineStr">
        <is>
          <t>ESPN BET closing</t>
        </is>
      </c>
    </row>
    <row r="67">
      <c r="A67" s="9" t="n">
        <v>45951</v>
      </c>
      <c r="B67" s="10" t="inlineStr">
        <is>
          <t>COL @ UTA</t>
        </is>
      </c>
      <c r="C67" s="13" t="n">
        <v>94.42</v>
      </c>
      <c r="D67" s="13" t="n">
        <v>77.91</v>
      </c>
      <c r="E67" s="13">
        <f>IF(OR(C67="",D67=""),"",ABS(C67-D67))</f>
        <v/>
      </c>
      <c r="F67" s="11" t="inlineStr">
        <is>
          <t>COL</t>
        </is>
      </c>
      <c r="G67" s="12" t="n">
        <v>-145</v>
      </c>
      <c r="H67" s="14">
        <f>IF(OR(F67="",G67="",AND(I67&lt;&gt;"W",I67&lt;&gt;"L")),"",IF(I67="W",IF(G67&gt;0,G67/100,1),IF(G67&lt;0,G67/100,-1)))</f>
        <v/>
      </c>
      <c r="I67" s="11" t="inlineStr">
        <is>
          <t>L</t>
        </is>
      </c>
      <c r="J67" s="10" t="inlineStr">
        <is>
          <t>COL 3, UTA 4</t>
        </is>
      </c>
      <c r="K67" s="10" t="inlineStr">
        <is>
          <t>ESPN BET closing</t>
        </is>
      </c>
    </row>
    <row r="68">
      <c r="A68" s="9" t="n">
        <v>45952</v>
      </c>
      <c r="B68" s="10" t="inlineStr">
        <is>
          <t>MIN @ NJD</t>
        </is>
      </c>
      <c r="C68" s="13" t="n">
        <v>74.29000000000001</v>
      </c>
      <c r="D68" s="13" t="n">
        <v>80.56999999999999</v>
      </c>
      <c r="E68" s="13">
        <f>IF(OR(C68="",D68=""),"",ABS(C68-D68))</f>
        <v/>
      </c>
      <c r="F68" s="11" t="inlineStr">
        <is>
          <t>NJD</t>
        </is>
      </c>
      <c r="G68" s="12" t="n">
        <v>-125</v>
      </c>
      <c r="H68" s="14">
        <f>IF(OR(F68="",G68="",AND(I68&lt;&gt;"W",I68&lt;&gt;"L")),"",IF(I68="W",IF(G68&gt;0,G68/100,1),IF(G68&lt;0,G68/100,-1)))</f>
        <v/>
      </c>
      <c r="I68" s="11" t="inlineStr">
        <is>
          <t>W</t>
        </is>
      </c>
      <c r="J68" s="10" t="inlineStr">
        <is>
          <t>MIN 1, NJD 4</t>
        </is>
      </c>
      <c r="K68" s="10" t="inlineStr">
        <is>
          <t>ESPN BET closing</t>
        </is>
      </c>
    </row>
    <row r="69">
      <c r="A69" s="9" t="n">
        <v>45952</v>
      </c>
      <c r="B69" s="10" t="inlineStr">
        <is>
          <t>DET @ BUF</t>
        </is>
      </c>
      <c r="C69" s="13" t="n">
        <v>80.31</v>
      </c>
      <c r="D69" s="13" t="n">
        <v>69.84999999999999</v>
      </c>
      <c r="E69" s="13">
        <f>IF(OR(C69="",D69=""),"",ABS(C69-D69))</f>
        <v/>
      </c>
      <c r="F69" s="11" t="inlineStr">
        <is>
          <t>DET</t>
        </is>
      </c>
      <c r="G69" s="12" t="n">
        <v>110</v>
      </c>
      <c r="H69" s="14">
        <f>IF(OR(F69="",G69="",AND(I69&lt;&gt;"W",I69&lt;&gt;"L")),"",IF(I69="W",IF(G69&gt;0,G69/100,1),IF(G69&lt;0,G69/100,-1)))</f>
        <v/>
      </c>
      <c r="I69" s="11" t="inlineStr">
        <is>
          <t>L</t>
        </is>
      </c>
      <c r="J69" s="10" t="inlineStr">
        <is>
          <t>DET 2, BUF 4</t>
        </is>
      </c>
      <c r="K69" s="10" t="inlineStr">
        <is>
          <t>ESPN BET closing</t>
        </is>
      </c>
    </row>
    <row r="70">
      <c r="A70" s="9" t="n">
        <v>45952</v>
      </c>
      <c r="B70" s="10" t="inlineStr">
        <is>
          <t>MTL @ CGY</t>
        </is>
      </c>
      <c r="C70" s="13" t="n">
        <v>70.15000000000001</v>
      </c>
      <c r="D70" s="13" t="n">
        <v>76.22</v>
      </c>
      <c r="E70" s="13">
        <f>IF(OR(C70="",D70=""),"",ABS(C70-D70))</f>
        <v/>
      </c>
      <c r="F70" s="11" t="inlineStr">
        <is>
          <t>CGY</t>
        </is>
      </c>
      <c r="G70" s="12" t="n">
        <v>-105</v>
      </c>
      <c r="H70" s="14">
        <f>IF(OR(F70="",G70="",AND(I70&lt;&gt;"W",I70&lt;&gt;"L")),"",IF(I70="W",IF(G70&gt;0,G70/100,1),IF(G70&lt;0,G70/100,-1)))</f>
        <v/>
      </c>
      <c r="I70" s="11" t="inlineStr">
        <is>
          <t>L</t>
        </is>
      </c>
      <c r="J70" s="10" t="inlineStr">
        <is>
          <t>MTL 2, CGY 1</t>
        </is>
      </c>
      <c r="K70" s="10" t="inlineStr">
        <is>
          <t>ESPN BET closing</t>
        </is>
      </c>
    </row>
    <row r="71">
      <c r="A71" s="9" t="n">
        <v>45953</v>
      </c>
      <c r="B71" s="10" t="inlineStr">
        <is>
          <t>CHI @ TBL</t>
        </is>
      </c>
      <c r="C71" s="13" t="n">
        <v>70.84999999999999</v>
      </c>
      <c r="D71" s="13" t="n">
        <v>63.99</v>
      </c>
      <c r="E71" s="13">
        <f>IF(OR(C71="",D71=""),"",ABS(C71-D71))</f>
        <v/>
      </c>
      <c r="F71" s="11" t="inlineStr">
        <is>
          <t>CHI</t>
        </is>
      </c>
      <c r="G71" s="12" t="n">
        <v>245</v>
      </c>
      <c r="H71" s="14">
        <f>IF(OR(F71="",G71="",AND(I71&lt;&gt;"W",I71&lt;&gt;"L")),"",IF(I71="W",IF(G71&gt;0,G71/100,1),IF(G71&lt;0,G71/100,-1)))</f>
        <v/>
      </c>
      <c r="I71" s="11" t="inlineStr">
        <is>
          <t>W</t>
        </is>
      </c>
      <c r="J71" s="10" t="inlineStr">
        <is>
          <t>CHI 3, TBL 2</t>
        </is>
      </c>
      <c r="K71" s="10" t="inlineStr">
        <is>
          <t>ESPN BET closing</t>
        </is>
      </c>
    </row>
    <row r="72">
      <c r="A72" s="9" t="n">
        <v>45953</v>
      </c>
      <c r="B72" s="10" t="inlineStr">
        <is>
          <t>ANA @ BOS</t>
        </is>
      </c>
      <c r="C72" s="13" t="n">
        <v>81.97</v>
      </c>
      <c r="D72" s="13" t="n">
        <v>68.23</v>
      </c>
      <c r="E72" s="13">
        <f>IF(OR(C72="",D72=""),"",ABS(C72-D72))</f>
        <v/>
      </c>
      <c r="F72" s="11" t="inlineStr">
        <is>
          <t>ANA</t>
        </is>
      </c>
      <c r="G72" s="12" t="n">
        <v>-105</v>
      </c>
      <c r="H72" s="14">
        <f>IF(OR(F72="",G72="",AND(I72&lt;&gt;"W",I72&lt;&gt;"L")),"",IF(I72="W",IF(G72&gt;0,G72/100,1),IF(G72&lt;0,G72/100,-1)))</f>
        <v/>
      </c>
      <c r="I72" s="11" t="inlineStr">
        <is>
          <t>W</t>
        </is>
      </c>
      <c r="J72" s="10" t="inlineStr">
        <is>
          <t>ANA 7, BOS 5</t>
        </is>
      </c>
      <c r="K72" s="10" t="inlineStr">
        <is>
          <t>ESPN BET closing</t>
        </is>
      </c>
    </row>
    <row r="73">
      <c r="A73" s="9" t="n">
        <v>45953</v>
      </c>
      <c r="B73" s="10" t="inlineStr">
        <is>
          <t>PHI @ OTT</t>
        </is>
      </c>
      <c r="C73" s="13" t="n">
        <v>82.65000000000001</v>
      </c>
      <c r="D73" s="13" t="n">
        <v>67.61</v>
      </c>
      <c r="E73" s="13">
        <f>IF(OR(C73="",D73=""),"",ABS(C73-D73))</f>
        <v/>
      </c>
      <c r="F73" s="11" t="inlineStr">
        <is>
          <t>PHI</t>
        </is>
      </c>
      <c r="G73" s="12" t="n">
        <v>125</v>
      </c>
      <c r="H73" s="14">
        <f>IF(OR(F73="",G73="",AND(I73&lt;&gt;"W",I73&lt;&gt;"L")),"",IF(I73="W",IF(G73&gt;0,G73/100,1),IF(G73&lt;0,G73/100,-1)))</f>
        <v/>
      </c>
      <c r="I73" s="11" t="inlineStr">
        <is>
          <t>L</t>
        </is>
      </c>
      <c r="J73" s="10" t="inlineStr">
        <is>
          <t>PHI 1, OTT 2</t>
        </is>
      </c>
      <c r="K73" s="10" t="inlineStr">
        <is>
          <t>ESPN BET closing</t>
        </is>
      </c>
    </row>
    <row r="74">
      <c r="A74" s="9" t="n">
        <v>45953</v>
      </c>
      <c r="B74" s="10" t="inlineStr">
        <is>
          <t>PIT @ FLA</t>
        </is>
      </c>
      <c r="C74" s="13" t="n">
        <v>83.19</v>
      </c>
      <c r="D74" s="13" t="n">
        <v>71.77</v>
      </c>
      <c r="E74" s="13">
        <f>IF(OR(C74="",D74=""),"",ABS(C74-D74))</f>
        <v/>
      </c>
      <c r="F74" s="11" t="inlineStr">
        <is>
          <t>PIT</t>
        </is>
      </c>
      <c r="G74" s="12" t="n">
        <v>165</v>
      </c>
      <c r="H74" s="14">
        <f>IF(OR(F74="",G74="",AND(I74&lt;&gt;"W",I74&lt;&gt;"L")),"",IF(I74="W",IF(G74&gt;0,G74/100,1),IF(G74&lt;0,G74/100,-1)))</f>
        <v/>
      </c>
      <c r="I74" s="11" t="inlineStr">
        <is>
          <t>W</t>
        </is>
      </c>
      <c r="J74" s="10" t="inlineStr">
        <is>
          <t>PIT 5, FLA 3</t>
        </is>
      </c>
      <c r="K74" s="10" t="inlineStr">
        <is>
          <t>ESPN BET closing</t>
        </is>
      </c>
    </row>
    <row r="75">
      <c r="A75" s="9" t="n">
        <v>45953</v>
      </c>
      <c r="B75" s="10" t="inlineStr">
        <is>
          <t>DET @ NYI</t>
        </is>
      </c>
      <c r="C75" s="13" t="n">
        <v>66.20999999999999</v>
      </c>
      <c r="D75" s="13" t="n">
        <v>66.76000000000001</v>
      </c>
      <c r="E75" s="13">
        <f>IF(OR(C75="",D75=""),"",ABS(C75-D75))</f>
        <v/>
      </c>
      <c r="F75" s="11" t="inlineStr">
        <is>
          <t>NYI</t>
        </is>
      </c>
      <c r="G75" s="12" t="n">
        <v>-135</v>
      </c>
      <c r="H75" s="14">
        <f>IF(OR(F75="",G75="",AND(I75&lt;&gt;"W",I75&lt;&gt;"L")),"",IF(I75="W",IF(G75&gt;0,G75/100,1),IF(G75&lt;0,G75/100,-1)))</f>
        <v/>
      </c>
      <c r="I75" s="11" t="inlineStr">
        <is>
          <t>W</t>
        </is>
      </c>
      <c r="J75" s="10" t="inlineStr">
        <is>
          <t>DET 2, NYI 7</t>
        </is>
      </c>
      <c r="K75" s="10" t="inlineStr">
        <is>
          <t>ESPN BET closing</t>
        </is>
      </c>
    </row>
    <row r="76">
      <c r="A76" s="9" t="n">
        <v>45953</v>
      </c>
      <c r="B76" s="10" t="inlineStr">
        <is>
          <t>SJS @ NYR</t>
        </is>
      </c>
      <c r="C76" s="13" t="n">
        <v>73.23999999999999</v>
      </c>
      <c r="D76" s="13" t="n">
        <v>65.70999999999999</v>
      </c>
      <c r="E76" s="13">
        <f>IF(OR(C76="",D76=""),"",ABS(C76-D76))</f>
        <v/>
      </c>
      <c r="F76" s="11" t="inlineStr">
        <is>
          <t>SJS</t>
        </is>
      </c>
      <c r="G76" s="12" t="n">
        <v>230</v>
      </c>
      <c r="H76" s="14">
        <f>IF(OR(F76="",G76="",AND(I76&lt;&gt;"W",I76&lt;&gt;"L")),"",IF(I76="W",IF(G76&gt;0,G76/100,1),IF(G76&lt;0,G76/100,-1)))</f>
        <v/>
      </c>
      <c r="I76" s="11" t="inlineStr">
        <is>
          <t>W</t>
        </is>
      </c>
      <c r="J76" s="10" t="inlineStr">
        <is>
          <t>SJS 6, NYR 5</t>
        </is>
      </c>
      <c r="K76" s="10" t="inlineStr">
        <is>
          <t>ESPN BET closing</t>
        </is>
      </c>
    </row>
    <row r="77">
      <c r="A77" s="9" t="n">
        <v>45953</v>
      </c>
      <c r="B77" s="10" t="inlineStr">
        <is>
          <t>UTA @ STL</t>
        </is>
      </c>
      <c r="C77" s="13" t="n">
        <v>68.43000000000001</v>
      </c>
      <c r="D77" s="13" t="n">
        <v>66.81</v>
      </c>
      <c r="E77" s="13">
        <f>IF(OR(C77="",D77=""),"",ABS(C77-D77))</f>
        <v/>
      </c>
      <c r="F77" s="11" t="inlineStr">
        <is>
          <t>UTA</t>
        </is>
      </c>
      <c r="G77" s="12" t="n">
        <v>-110</v>
      </c>
      <c r="H77" s="14">
        <f>IF(OR(F77="",G77="",AND(I77&lt;&gt;"W",I77&lt;&gt;"L")),"",IF(I77="W",IF(G77&gt;0,G77/100,1),IF(G77&lt;0,G77/100,-1)))</f>
        <v/>
      </c>
      <c r="I77" s="11" t="inlineStr">
        <is>
          <t>W</t>
        </is>
      </c>
      <c r="J77" s="10" t="inlineStr">
        <is>
          <t>UTA 7, STL 4</t>
        </is>
      </c>
      <c r="K77" s="10" t="inlineStr">
        <is>
          <t>ESPN BET closing</t>
        </is>
      </c>
    </row>
    <row r="78">
      <c r="A78" s="9" t="n">
        <v>45953</v>
      </c>
      <c r="B78" s="10" t="inlineStr">
        <is>
          <t>VAN @ NSH</t>
        </is>
      </c>
      <c r="C78" s="13" t="n">
        <v>56.81</v>
      </c>
      <c r="D78" s="13" t="n">
        <v>58.03</v>
      </c>
      <c r="E78" s="13">
        <f>IF(OR(C78="",D78=""),"",ABS(C78-D78))</f>
        <v/>
      </c>
      <c r="F78" s="11" t="inlineStr">
        <is>
          <t>NSH</t>
        </is>
      </c>
      <c r="G78" s="12" t="n">
        <v>-125</v>
      </c>
      <c r="H78" s="14">
        <f>IF(OR(F78="",G78="",AND(I78&lt;&gt;"W",I78&lt;&gt;"L")),"",IF(I78="W",IF(G78&gt;0,G78/100,1),IF(G78&lt;0,G78/100,-1)))</f>
        <v/>
      </c>
      <c r="I78" s="11" t="inlineStr">
        <is>
          <t>W</t>
        </is>
      </c>
      <c r="J78" s="10" t="inlineStr">
        <is>
          <t>VAN 1, NSH 2</t>
        </is>
      </c>
      <c r="K78" s="10" t="inlineStr">
        <is>
          <t>ESPN BET closing</t>
        </is>
      </c>
    </row>
    <row r="79">
      <c r="A79" s="9" t="n">
        <v>45953</v>
      </c>
      <c r="B79" s="10" t="inlineStr">
        <is>
          <t>SEA @ WPG</t>
        </is>
      </c>
      <c r="C79" s="13" t="n">
        <v>53.53</v>
      </c>
      <c r="D79" s="13" t="n">
        <v>63.78</v>
      </c>
      <c r="E79" s="13">
        <f>IF(OR(C79="",D79=""),"",ABS(C79-D79))</f>
        <v/>
      </c>
      <c r="F79" s="11" t="inlineStr">
        <is>
          <t>WPG</t>
        </is>
      </c>
      <c r="G79" s="12" t="n">
        <v>-210</v>
      </c>
      <c r="H79" s="14">
        <f>IF(OR(F79="",G79="",AND(I79&lt;&gt;"W",I79&lt;&gt;"L")),"",IF(I79="W",IF(G79&gt;0,G79/100,1),IF(G79&lt;0,G79/100,-1)))</f>
        <v/>
      </c>
      <c r="I79" s="11" t="inlineStr">
        <is>
          <t>L</t>
        </is>
      </c>
      <c r="J79" s="10" t="inlineStr">
        <is>
          <t>SEA 3, WPG 0</t>
        </is>
      </c>
      <c r="K79" s="10" t="inlineStr">
        <is>
          <t>ESPN BET closing</t>
        </is>
      </c>
    </row>
    <row r="80">
      <c r="A80" s="9" t="n">
        <v>45953</v>
      </c>
      <c r="B80" s="10" t="inlineStr">
        <is>
          <t>LAK @ DAL</t>
        </is>
      </c>
      <c r="C80" s="13" t="n">
        <v>73.19</v>
      </c>
      <c r="D80" s="13" t="n">
        <v>56.51</v>
      </c>
      <c r="E80" s="13">
        <f>IF(OR(C80="",D80=""),"",ABS(C80-D80))</f>
        <v/>
      </c>
      <c r="F80" s="11" t="inlineStr">
        <is>
          <t>LAK</t>
        </is>
      </c>
      <c r="G80" s="12" t="n">
        <v>115</v>
      </c>
      <c r="H80" s="14">
        <f>IF(OR(F80="",G80="",AND(I80&lt;&gt;"W",I80&lt;&gt;"L")),"",IF(I80="W",IF(G80&gt;0,G80/100,1),IF(G80&lt;0,G80/100,-1)))</f>
        <v/>
      </c>
      <c r="I80" s="11" t="inlineStr">
        <is>
          <t>W</t>
        </is>
      </c>
      <c r="J80" s="10" t="inlineStr">
        <is>
          <t>LAK 3, DAL 2</t>
        </is>
      </c>
      <c r="K80" s="10" t="inlineStr">
        <is>
          <t>ESPN BET closing</t>
        </is>
      </c>
    </row>
    <row r="81">
      <c r="A81" s="9" t="n">
        <v>45953</v>
      </c>
      <c r="B81" s="10" t="inlineStr">
        <is>
          <t>CAR @ COL</t>
        </is>
      </c>
      <c r="C81" s="13" t="n">
        <v>64.54000000000001</v>
      </c>
      <c r="D81" s="13" t="n">
        <v>71.56999999999999</v>
      </c>
      <c r="E81" s="13">
        <f>IF(OR(C81="",D81=""),"",ABS(C81-D81))</f>
        <v/>
      </c>
      <c r="F81" s="11" t="inlineStr">
        <is>
          <t>COL</t>
        </is>
      </c>
      <c r="G81" s="12" t="n">
        <v>-135</v>
      </c>
      <c r="H81" s="14">
        <f>IF(OR(F81="",G81="",AND(I81&lt;&gt;"W",I81&lt;&gt;"L")),"",IF(I81="W",IF(G81&gt;0,G81/100,1),IF(G81&lt;0,G81/100,-1)))</f>
        <v/>
      </c>
      <c r="I81" s="11" t="inlineStr">
        <is>
          <t>L</t>
        </is>
      </c>
      <c r="J81" s="10" t="inlineStr">
        <is>
          <t>CAR 5, COL 4</t>
        </is>
      </c>
      <c r="K81" s="10" t="inlineStr">
        <is>
          <t>ESPN BET closing</t>
        </is>
      </c>
    </row>
    <row r="82">
      <c r="A82" s="9" t="n">
        <v>45953</v>
      </c>
      <c r="B82" s="10" t="inlineStr">
        <is>
          <t>MTL @ EDM</t>
        </is>
      </c>
      <c r="C82" s="13" t="n">
        <v>69.02</v>
      </c>
      <c r="D82" s="13" t="n">
        <v>72.39</v>
      </c>
      <c r="E82" s="13">
        <f>IF(OR(C82="",D82=""),"",ABS(C82-D82))</f>
        <v/>
      </c>
      <c r="F82" s="11" t="inlineStr">
        <is>
          <t>EDM</t>
        </is>
      </c>
      <c r="G82" s="12" t="n">
        <v>-230</v>
      </c>
      <c r="H82" s="14">
        <f>IF(OR(F82="",G82="",AND(I82&lt;&gt;"W",I82&lt;&gt;"L")),"",IF(I82="W",IF(G82&gt;0,G82/100,1),IF(G82&lt;0,G82/100,-1)))</f>
        <v/>
      </c>
      <c r="I82" s="11" t="inlineStr">
        <is>
          <t>W</t>
        </is>
      </c>
      <c r="J82" s="10" t="inlineStr">
        <is>
          <t>MTL 5, EDM 6</t>
        </is>
      </c>
      <c r="K82" s="10" t="inlineStr">
        <is>
          <t>ESPN BET closing</t>
        </is>
      </c>
    </row>
    <row r="83">
      <c r="A83" s="9" t="n">
        <v>45954</v>
      </c>
      <c r="B83" s="10" t="inlineStr">
        <is>
          <t>TOR @ BUF</t>
        </is>
      </c>
      <c r="C83" s="13" t="n">
        <v>59.43</v>
      </c>
      <c r="D83" s="13" t="n">
        <v>73.79000000000001</v>
      </c>
      <c r="E83" s="13">
        <f>IF(OR(C83="",D83=""),"",ABS(C83-D83))</f>
        <v/>
      </c>
      <c r="F83" s="11" t="inlineStr">
        <is>
          <t>BUF</t>
        </is>
      </c>
      <c r="G83" s="12" t="n">
        <v>100</v>
      </c>
      <c r="H83" s="14">
        <f>IF(OR(F83="",G83="",AND(I83&lt;&gt;"W",I83&lt;&gt;"L")),"",IF(I83="W",IF(G83&gt;0,G83/100,1),IF(G83&lt;0,G83/100,-1)))</f>
        <v/>
      </c>
      <c r="I83" s="11" t="inlineStr">
        <is>
          <t>W</t>
        </is>
      </c>
      <c r="J83" s="10" t="inlineStr">
        <is>
          <t>TOR 3, BUF 5</t>
        </is>
      </c>
      <c r="K83" s="10" t="inlineStr">
        <is>
          <t>ESPN BET closing</t>
        </is>
      </c>
    </row>
    <row r="84">
      <c r="A84" s="9" t="n">
        <v>45954</v>
      </c>
      <c r="B84" s="10" t="inlineStr">
        <is>
          <t>SJS @ NJD</t>
        </is>
      </c>
      <c r="C84" s="13" t="n">
        <v>68.11</v>
      </c>
      <c r="D84" s="13" t="n">
        <v>79.91</v>
      </c>
      <c r="E84" s="13">
        <f>IF(OR(C84="",D84=""),"",ABS(C84-D84))</f>
        <v/>
      </c>
      <c r="F84" s="11" t="inlineStr">
        <is>
          <t>NJD</t>
        </is>
      </c>
      <c r="G84" s="12" t="n">
        <v>-380</v>
      </c>
      <c r="H84" s="14">
        <f>IF(OR(F84="",G84="",AND(I84&lt;&gt;"W",I84&lt;&gt;"L")),"",IF(I84="W",IF(G84&gt;0,G84/100,1),IF(G84&lt;0,G84/100,-1)))</f>
        <v/>
      </c>
      <c r="I84" s="11" t="inlineStr">
        <is>
          <t>W</t>
        </is>
      </c>
      <c r="J84" s="10" t="inlineStr">
        <is>
          <t>SJS 1, NJD 3</t>
        </is>
      </c>
      <c r="K84" s="10" t="inlineStr">
        <is>
          <t>ESPN BET closing</t>
        </is>
      </c>
    </row>
    <row r="85">
      <c r="A85" s="9" t="n">
        <v>45954</v>
      </c>
      <c r="B85" s="10" t="inlineStr">
        <is>
          <t>WSH @ CBJ</t>
        </is>
      </c>
      <c r="C85" s="13" t="n">
        <v>86.47</v>
      </c>
      <c r="D85" s="13" t="n">
        <v>83.48999999999999</v>
      </c>
      <c r="E85" s="13">
        <f>IF(OR(C85="",D85=""),"",ABS(C85-D85))</f>
        <v/>
      </c>
      <c r="F85" s="11" t="inlineStr">
        <is>
          <t>WSH</t>
        </is>
      </c>
      <c r="G85" s="12" t="n">
        <v>-115</v>
      </c>
      <c r="H85" s="14">
        <f>IF(OR(F85="",G85="",AND(I85&lt;&gt;"W",I85&lt;&gt;"L")),"",IF(I85="W",IF(G85&gt;0,G85/100,1),IF(G85&lt;0,G85/100,-1)))</f>
        <v/>
      </c>
      <c r="I85" s="11" t="inlineStr">
        <is>
          <t>W</t>
        </is>
      </c>
      <c r="J85" s="10" t="inlineStr">
        <is>
          <t>WSH 5, CBJ 1</t>
        </is>
      </c>
      <c r="K85" s="10" t="inlineStr">
        <is>
          <t>ESPN BET closing</t>
        </is>
      </c>
    </row>
    <row r="86">
      <c r="A86" s="9" t="n">
        <v>45954</v>
      </c>
      <c r="B86" s="10" t="inlineStr">
        <is>
          <t>CGY @ WPG</t>
        </is>
      </c>
      <c r="C86" s="13" t="n">
        <v>70.98</v>
      </c>
      <c r="D86" s="13" t="n">
        <v>68.26000000000001</v>
      </c>
      <c r="E86" s="13">
        <f>IF(OR(C86="",D86=""),"",ABS(C86-D86))</f>
        <v/>
      </c>
      <c r="F86" s="11" t="inlineStr">
        <is>
          <t>CGY</t>
        </is>
      </c>
      <c r="G86" s="12" t="n">
        <v>110</v>
      </c>
      <c r="H86" s="14">
        <f>IF(OR(F86="",G86="",AND(I86&lt;&gt;"W",I86&lt;&gt;"L")),"",IF(I86="W",IF(G86&gt;0,G86/100,1),IF(G86&lt;0,G86/100,-1)))</f>
        <v/>
      </c>
      <c r="I86" s="11" t="inlineStr">
        <is>
          <t>L</t>
        </is>
      </c>
      <c r="J86" s="10" t="inlineStr">
        <is>
          <t>CGY 3, WPG 5</t>
        </is>
      </c>
      <c r="K86" s="10" t="inlineStr">
        <is>
          <t>ESPN BET closing</t>
        </is>
      </c>
    </row>
    <row r="87">
      <c r="A87" s="9" t="n">
        <v>45955</v>
      </c>
      <c r="B87" s="10" t="inlineStr">
        <is>
          <t>NYI @ PHI</t>
        </is>
      </c>
      <c r="C87" s="13" t="n">
        <v>78.88</v>
      </c>
      <c r="D87" s="13" t="n">
        <v>65.97</v>
      </c>
      <c r="E87" s="13">
        <f>IF(OR(C87="",D87=""),"",ABS(C87-D87))</f>
        <v/>
      </c>
      <c r="F87" s="11" t="inlineStr">
        <is>
          <t>NYI</t>
        </is>
      </c>
      <c r="G87" s="12" t="n">
        <v>100</v>
      </c>
      <c r="H87" s="14">
        <f>IF(OR(F87="",G87="",AND(I87&lt;&gt;"W",I87&lt;&gt;"L")),"",IF(I87="W",IF(G87&gt;0,G87/100,1),IF(G87&lt;0,G87/100,-1)))</f>
        <v/>
      </c>
      <c r="I87" s="11" t="inlineStr">
        <is>
          <t>L</t>
        </is>
      </c>
      <c r="J87" s="10" t="inlineStr">
        <is>
          <t>NYI 3, PHI 4</t>
        </is>
      </c>
      <c r="K87" s="10" t="inlineStr">
        <is>
          <t>ESPN BET closing</t>
        </is>
      </c>
    </row>
    <row r="88">
      <c r="A88" s="9" t="n">
        <v>45955</v>
      </c>
      <c r="B88" s="10" t="inlineStr">
        <is>
          <t>COL @ BOS</t>
        </is>
      </c>
      <c r="C88" s="13" t="n">
        <v>78.45</v>
      </c>
      <c r="D88" s="13" t="n">
        <v>73.76000000000001</v>
      </c>
      <c r="E88" s="13">
        <f>IF(OR(C88="",D88=""),"",ABS(C88-D88))</f>
        <v/>
      </c>
      <c r="F88" s="11" t="inlineStr">
        <is>
          <t>COL</t>
        </is>
      </c>
      <c r="G88" s="12" t="n">
        <v>-210</v>
      </c>
      <c r="H88" s="14">
        <f>IF(OR(F88="",G88="",AND(I88&lt;&gt;"W",I88&lt;&gt;"L")),"",IF(I88="W",IF(G88&gt;0,G88/100,1),IF(G88&lt;0,G88/100,-1)))</f>
        <v/>
      </c>
      <c r="I88" s="11" t="inlineStr">
        <is>
          <t>L</t>
        </is>
      </c>
      <c r="J88" s="10" t="inlineStr">
        <is>
          <t>COL 2, BOS 3</t>
        </is>
      </c>
      <c r="K88" s="10" t="inlineStr">
        <is>
          <t>ESPN BET closing</t>
        </is>
      </c>
    </row>
    <row r="89">
      <c r="A89" s="9" t="n">
        <v>45955</v>
      </c>
      <c r="B89" s="10" t="inlineStr">
        <is>
          <t>ANA @ TBL</t>
        </is>
      </c>
      <c r="C89" s="13" t="n">
        <v>66.23999999999999</v>
      </c>
      <c r="D89" s="13" t="n">
        <v>75.11</v>
      </c>
      <c r="E89" s="13">
        <f>IF(OR(C89="",D89=""),"",ABS(C89-D89))</f>
        <v/>
      </c>
      <c r="F89" s="11" t="inlineStr">
        <is>
          <t>TBL</t>
        </is>
      </c>
      <c r="G89" s="12" t="n">
        <v>-190</v>
      </c>
      <c r="H89" s="14">
        <f>IF(OR(F89="",G89="",AND(I89&lt;&gt;"W",I89&lt;&gt;"L")),"",IF(I89="W",IF(G89&gt;0,G89/100,1),IF(G89&lt;0,G89/100,-1)))</f>
        <v/>
      </c>
      <c r="I89" s="11" t="inlineStr">
        <is>
          <t>W</t>
        </is>
      </c>
      <c r="J89" s="10" t="inlineStr">
        <is>
          <t>ANA 3, TBL 4</t>
        </is>
      </c>
      <c r="K89" s="10" t="inlineStr">
        <is>
          <t>ESPN BET closing</t>
        </is>
      </c>
    </row>
    <row r="90">
      <c r="A90" s="9" t="n">
        <v>45955</v>
      </c>
      <c r="B90" s="10" t="inlineStr">
        <is>
          <t>BUF @ TOR</t>
        </is>
      </c>
      <c r="C90" s="13" t="n">
        <v>75.43000000000001</v>
      </c>
      <c r="D90" s="13" t="n">
        <v>64.56999999999999</v>
      </c>
      <c r="E90" s="13">
        <f>IF(OR(C90="",D90=""),"",ABS(C90-D90))</f>
        <v/>
      </c>
      <c r="F90" s="11" t="inlineStr">
        <is>
          <t>BUF</t>
        </is>
      </c>
      <c r="G90" s="12" t="n">
        <v>115</v>
      </c>
      <c r="H90" s="14">
        <f>IF(OR(F90="",G90="",AND(I90&lt;&gt;"W",I90&lt;&gt;"L")),"",IF(I90="W",IF(G90&gt;0,G90/100,1),IF(G90&lt;0,G90/100,-1)))</f>
        <v/>
      </c>
      <c r="I90" s="11" t="inlineStr">
        <is>
          <t>L</t>
        </is>
      </c>
      <c r="J90" s="10" t="inlineStr">
        <is>
          <t>BUF 3, TOR 4</t>
        </is>
      </c>
      <c r="K90" s="10" t="inlineStr">
        <is>
          <t>ESPN BET closing</t>
        </is>
      </c>
    </row>
    <row r="91">
      <c r="A91" s="9" t="n">
        <v>45955</v>
      </c>
      <c r="B91" s="10" t="inlineStr">
        <is>
          <t>VGK @ FLA</t>
        </is>
      </c>
      <c r="C91" s="13" t="n">
        <v>75.45999999999999</v>
      </c>
      <c r="D91" s="13" t="n">
        <v>74.93000000000001</v>
      </c>
      <c r="E91" s="13">
        <f>IF(OR(C91="",D91=""),"",ABS(C91-D91))</f>
        <v/>
      </c>
      <c r="F91" s="11" t="inlineStr">
        <is>
          <t>VGK</t>
        </is>
      </c>
      <c r="G91" s="12" t="n">
        <v>-115</v>
      </c>
      <c r="H91" s="14">
        <f>IF(OR(F91="",G91="",AND(I91&lt;&gt;"W",I91&lt;&gt;"L")),"",IF(I91="W",IF(G91&gt;0,G91/100,1),IF(G91&lt;0,G91/100,-1)))</f>
        <v/>
      </c>
      <c r="I91" s="11" t="inlineStr">
        <is>
          <t>L</t>
        </is>
      </c>
      <c r="J91" s="10" t="inlineStr">
        <is>
          <t>VGK 0, FLA 3</t>
        </is>
      </c>
      <c r="K91" s="10" t="inlineStr">
        <is>
          <t>ESPN BET closing</t>
        </is>
      </c>
    </row>
    <row r="92">
      <c r="A92" s="9" t="n">
        <v>45955</v>
      </c>
      <c r="B92" s="10" t="inlineStr">
        <is>
          <t>UTA @ MIN</t>
        </is>
      </c>
      <c r="C92" s="13" t="n">
        <v>75.81999999999999</v>
      </c>
      <c r="D92" s="13" t="n">
        <v>60.09</v>
      </c>
      <c r="E92" s="13">
        <f>IF(OR(C92="",D92=""),"",ABS(C92-D92))</f>
        <v/>
      </c>
      <c r="F92" s="11" t="inlineStr">
        <is>
          <t>UTA</t>
        </is>
      </c>
      <c r="G92" s="12" t="n">
        <v>-105</v>
      </c>
      <c r="H92" s="14">
        <f>IF(OR(F92="",G92="",AND(I92&lt;&gt;"W",I92&lt;&gt;"L")),"",IF(I92="W",IF(G92&gt;0,G92/100,1),IF(G92&lt;0,G92/100,-1)))</f>
        <v/>
      </c>
      <c r="I92" s="11" t="inlineStr">
        <is>
          <t>W</t>
        </is>
      </c>
      <c r="J92" s="10" t="inlineStr">
        <is>
          <t>UTA 6, MIN 2</t>
        </is>
      </c>
      <c r="K92" s="10" t="inlineStr">
        <is>
          <t>ESPN BET closing</t>
        </is>
      </c>
    </row>
    <row r="93">
      <c r="A93" s="9" t="n">
        <v>45955</v>
      </c>
      <c r="B93" s="10" t="inlineStr">
        <is>
          <t>STL @ DET</t>
        </is>
      </c>
      <c r="C93" s="13" t="n">
        <v>64.18000000000001</v>
      </c>
      <c r="D93" s="13" t="n">
        <v>61.12</v>
      </c>
      <c r="E93" s="13">
        <f>IF(OR(C93="",D93=""),"",ABS(C93-D93))</f>
        <v/>
      </c>
      <c r="F93" s="11" t="inlineStr">
        <is>
          <t>STL</t>
        </is>
      </c>
      <c r="G93" s="12" t="n">
        <v>-115</v>
      </c>
      <c r="H93" s="14">
        <f>IF(OR(F93="",G93="",AND(I93&lt;&gt;"W",I93&lt;&gt;"L")),"",IF(I93="W",IF(G93&gt;0,G93/100,1),IF(G93&lt;0,G93/100,-1)))</f>
        <v/>
      </c>
      <c r="I93" s="11" t="inlineStr">
        <is>
          <t>L</t>
        </is>
      </c>
      <c r="J93" s="10" t="inlineStr">
        <is>
          <t>STL 4, DET 6</t>
        </is>
      </c>
      <c r="K93" s="10" t="inlineStr">
        <is>
          <t>ESPN BET closing</t>
        </is>
      </c>
    </row>
    <row r="94">
      <c r="A94" s="9" t="n">
        <v>45955</v>
      </c>
      <c r="B94" s="10" t="inlineStr">
        <is>
          <t>CBJ @ PIT</t>
        </is>
      </c>
      <c r="C94" s="13" t="n">
        <v>61.07</v>
      </c>
      <c r="D94" s="13" t="n">
        <v>65.06999999999999</v>
      </c>
      <c r="E94" s="13">
        <f>IF(OR(C94="",D94=""),"",ABS(C94-D94))</f>
        <v/>
      </c>
      <c r="F94" s="11" t="inlineStr">
        <is>
          <t>PIT</t>
        </is>
      </c>
      <c r="G94" s="12" t="n">
        <v>-115</v>
      </c>
      <c r="H94" s="14">
        <f>IF(OR(F94="",G94="",AND(I94&lt;&gt;"W",I94&lt;&gt;"L")),"",IF(I94="W",IF(G94&gt;0,G94/100,1),IF(G94&lt;0,G94/100,-1)))</f>
        <v/>
      </c>
      <c r="I94" s="11" t="inlineStr">
        <is>
          <t>L</t>
        </is>
      </c>
      <c r="J94" s="10" t="inlineStr">
        <is>
          <t>CBJ 5, PIT 4</t>
        </is>
      </c>
      <c r="K94" s="10" t="inlineStr">
        <is>
          <t>ESPN BET closing</t>
        </is>
      </c>
    </row>
    <row r="95">
      <c r="A95" s="9" t="n">
        <v>45955</v>
      </c>
      <c r="B95" s="10" t="inlineStr">
        <is>
          <t>OTT @ WSH</t>
        </is>
      </c>
      <c r="C95" s="13" t="n">
        <v>74.03</v>
      </c>
      <c r="D95" s="13" t="n">
        <v>78.93000000000001</v>
      </c>
      <c r="E95" s="13">
        <f>IF(OR(C95="",D95=""),"",ABS(C95-D95))</f>
        <v/>
      </c>
      <c r="F95" s="11" t="inlineStr">
        <is>
          <t>WSH</t>
        </is>
      </c>
      <c r="G95" s="12" t="n">
        <v>-130</v>
      </c>
      <c r="H95" s="14">
        <f>IF(OR(F95="",G95="",AND(I95&lt;&gt;"W",I95&lt;&gt;"L")),"",IF(I95="W",IF(G95&gt;0,G95/100,1),IF(G95&lt;0,G95/100,-1)))</f>
        <v/>
      </c>
      <c r="I95" s="11" t="inlineStr">
        <is>
          <t>L</t>
        </is>
      </c>
      <c r="J95" s="10" t="inlineStr">
        <is>
          <t>OTT 7, WSH 1</t>
        </is>
      </c>
      <c r="K95" s="10" t="inlineStr">
        <is>
          <t>ESPN BET closing</t>
        </is>
      </c>
    </row>
    <row r="96">
      <c r="A96" s="9" t="n">
        <v>45955</v>
      </c>
      <c r="B96" s="10" t="inlineStr">
        <is>
          <t>MTL @ VAN</t>
        </is>
      </c>
      <c r="C96" s="13" t="n">
        <v>71.20999999999999</v>
      </c>
      <c r="D96" s="13" t="n">
        <v>62.19</v>
      </c>
      <c r="E96" s="13">
        <f>IF(OR(C96="",D96=""),"",ABS(C96-D96))</f>
        <v/>
      </c>
      <c r="F96" s="11" t="inlineStr">
        <is>
          <t>MTL</t>
        </is>
      </c>
      <c r="G96" s="12" t="n">
        <v>-115</v>
      </c>
      <c r="H96" s="14">
        <f>IF(OR(F96="",G96="",AND(I96&lt;&gt;"W",I96&lt;&gt;"L")),"",IF(I96="W",IF(G96&gt;0,G96/100,1),IF(G96&lt;0,G96/100,-1)))</f>
        <v/>
      </c>
      <c r="I96" s="11" t="inlineStr">
        <is>
          <t>W</t>
        </is>
      </c>
      <c r="J96" s="10" t="inlineStr">
        <is>
          <t>MTL 4, VAN 3</t>
        </is>
      </c>
      <c r="K96" s="10" t="inlineStr">
        <is>
          <t>ESPN BET closing</t>
        </is>
      </c>
    </row>
    <row r="97">
      <c r="A97" s="9" t="n">
        <v>45955</v>
      </c>
      <c r="B97" s="10" t="inlineStr">
        <is>
          <t>LAK @ NSH</t>
        </is>
      </c>
      <c r="C97" s="13" t="n">
        <v>71.31</v>
      </c>
      <c r="D97" s="13" t="n">
        <v>77.81</v>
      </c>
      <c r="E97" s="13">
        <f>IF(OR(C97="",D97=""),"",ABS(C97-D97))</f>
        <v/>
      </c>
      <c r="F97" s="11" t="inlineStr">
        <is>
          <t>NSH</t>
        </is>
      </c>
      <c r="G97" s="12" t="n">
        <v>135</v>
      </c>
      <c r="H97" s="14">
        <f>IF(OR(F97="",G97="",AND(I97&lt;&gt;"W",I97&lt;&gt;"L")),"",IF(I97="W",IF(G97&gt;0,G97/100,1),IF(G97&lt;0,G97/100,-1)))</f>
        <v/>
      </c>
      <c r="I97" s="11" t="inlineStr">
        <is>
          <t>W</t>
        </is>
      </c>
      <c r="J97" s="10" t="inlineStr">
        <is>
          <t>LAK 4, NSH 5</t>
        </is>
      </c>
      <c r="K97" s="10" t="inlineStr">
        <is>
          <t>ESPN BET closing</t>
        </is>
      </c>
    </row>
    <row r="98">
      <c r="A98" s="9" t="n">
        <v>45955</v>
      </c>
      <c r="B98" s="10" t="inlineStr">
        <is>
          <t>CAR @ DAL</t>
        </is>
      </c>
      <c r="C98" s="13" t="n">
        <v>61.55</v>
      </c>
      <c r="D98" s="13" t="n">
        <v>68.69</v>
      </c>
      <c r="E98" s="13">
        <f>IF(OR(C98="",D98=""),"",ABS(C98-D98))</f>
        <v/>
      </c>
      <c r="F98" s="11" t="inlineStr">
        <is>
          <t>DAL</t>
        </is>
      </c>
      <c r="G98" s="12" t="n">
        <v>-130</v>
      </c>
      <c r="H98" s="14">
        <f>IF(OR(F98="",G98="",AND(I98&lt;&gt;"W",I98&lt;&gt;"L")),"",IF(I98="W",IF(G98&gt;0,G98/100,1),IF(G98&lt;0,G98/100,-1)))</f>
        <v/>
      </c>
      <c r="I98" s="11" t="inlineStr">
        <is>
          <t>W</t>
        </is>
      </c>
      <c r="J98" s="10" t="inlineStr">
        <is>
          <t>CAR 2, DAL 3</t>
        </is>
      </c>
      <c r="K98" s="10" t="inlineStr">
        <is>
          <t>ESPN BET closing</t>
        </is>
      </c>
    </row>
    <row r="99">
      <c r="A99" s="9" t="n">
        <v>45955</v>
      </c>
      <c r="B99" s="10" t="inlineStr">
        <is>
          <t>EDM @ SEA</t>
        </is>
      </c>
      <c r="C99" s="13" t="n">
        <v>68.79000000000001</v>
      </c>
      <c r="D99" s="13" t="n">
        <v>71.73999999999999</v>
      </c>
      <c r="E99" s="13">
        <f>IF(OR(C99="",D99=""),"",ABS(C99-D99))</f>
        <v/>
      </c>
      <c r="F99" s="11" t="inlineStr">
        <is>
          <t>SEA</t>
        </is>
      </c>
      <c r="G99" s="12" t="n">
        <v>145</v>
      </c>
      <c r="H99" s="14">
        <f>IF(OR(F99="",G99="",AND(I99&lt;&gt;"W",I99&lt;&gt;"L")),"",IF(I99="W",IF(G99&gt;0,G99/100,1),IF(G99&lt;0,G99/100,-1)))</f>
        <v/>
      </c>
      <c r="I99" s="11" t="inlineStr">
        <is>
          <t>W</t>
        </is>
      </c>
      <c r="J99" s="10" t="inlineStr">
        <is>
          <t>EDM 2, SEA 3</t>
        </is>
      </c>
      <c r="K99" s="10" t="inlineStr">
        <is>
          <t>ESPN BET closing</t>
        </is>
      </c>
    </row>
    <row r="100">
      <c r="A100" s="9" t="n">
        <v>45956</v>
      </c>
      <c r="B100" s="10" t="inlineStr">
        <is>
          <t>COL @ NJD</t>
        </is>
      </c>
      <c r="C100" s="13" t="n">
        <v>82.01000000000001</v>
      </c>
      <c r="D100" s="13" t="n">
        <v>79.20999999999999</v>
      </c>
      <c r="E100" s="13">
        <f>IF(OR(C100="",D100=""),"",ABS(C100-D100))</f>
        <v/>
      </c>
      <c r="F100" s="11" t="inlineStr">
        <is>
          <t>COL</t>
        </is>
      </c>
      <c r="G100" s="12" t="n">
        <v>110</v>
      </c>
      <c r="H100" s="14">
        <f>IF(OR(F100="",G100="",AND(I100&lt;&gt;"W",I100&lt;&gt;"L")),"",IF(I100="W",IF(G100&gt;0,G100/100,1),IF(G100&lt;0,G100/100,-1)))</f>
        <v/>
      </c>
      <c r="I100" s="11" t="inlineStr">
        <is>
          <t>L</t>
        </is>
      </c>
      <c r="J100" s="10" t="inlineStr">
        <is>
          <t>COL 3, NJD 4</t>
        </is>
      </c>
      <c r="K100" s="10" t="inlineStr">
        <is>
          <t>ESPN BET closing</t>
        </is>
      </c>
    </row>
    <row r="101">
      <c r="A101" s="9" t="n">
        <v>45956</v>
      </c>
      <c r="B101" s="10" t="inlineStr">
        <is>
          <t>VGK @ TBL</t>
        </is>
      </c>
      <c r="C101" s="13" t="n">
        <v>52.61</v>
      </c>
      <c r="D101" s="13" t="n">
        <v>75.64</v>
      </c>
      <c r="E101" s="13">
        <f>IF(OR(C101="",D101=""),"",ABS(C101-D101))</f>
        <v/>
      </c>
      <c r="F101" s="11" t="inlineStr">
        <is>
          <t>TBL</t>
        </is>
      </c>
      <c r="G101" s="12" t="n">
        <v>-135</v>
      </c>
      <c r="H101" s="14">
        <f>IF(OR(F101="",G101="",AND(I101&lt;&gt;"W",I101&lt;&gt;"L")),"",IF(I101="W",IF(G101&gt;0,G101/100,1),IF(G101&lt;0,G101/100,-1)))</f>
        <v/>
      </c>
      <c r="I101" s="11" t="inlineStr">
        <is>
          <t>W</t>
        </is>
      </c>
      <c r="J101" s="10" t="inlineStr">
        <is>
          <t>VGK 1, TBL 2</t>
        </is>
      </c>
      <c r="K101" s="10" t="inlineStr">
        <is>
          <t>ESPN BET closing</t>
        </is>
      </c>
    </row>
    <row r="102">
      <c r="A102" s="9" t="n">
        <v>45956</v>
      </c>
      <c r="B102" s="10" t="inlineStr">
        <is>
          <t>SJS @ MIN</t>
        </is>
      </c>
      <c r="C102" s="13" t="n">
        <v>60.79</v>
      </c>
      <c r="D102" s="13" t="n">
        <v>53.88</v>
      </c>
      <c r="E102" s="13">
        <f>IF(OR(C102="",D102=""),"",ABS(C102-D102))</f>
        <v/>
      </c>
      <c r="F102" s="11" t="inlineStr">
        <is>
          <t>SJS</t>
        </is>
      </c>
      <c r="G102" s="12" t="n">
        <v>160</v>
      </c>
      <c r="H102" s="14">
        <f>IF(OR(F102="",G102="",AND(I102&lt;&gt;"W",I102&lt;&gt;"L")),"",IF(I102="W",IF(G102&gt;0,G102/100,1),IF(G102&lt;0,G102/100,-1)))</f>
        <v/>
      </c>
      <c r="I102" s="11" t="inlineStr">
        <is>
          <t>W</t>
        </is>
      </c>
      <c r="J102" s="10" t="inlineStr">
        <is>
          <t>SJS 6, MIN 5</t>
        </is>
      </c>
      <c r="K102" s="10" t="inlineStr">
        <is>
          <t>ESPN BET closing</t>
        </is>
      </c>
    </row>
    <row r="103">
      <c r="A103" s="9" t="n">
        <v>45956</v>
      </c>
      <c r="B103" s="10" t="inlineStr">
        <is>
          <t>UTA @ WPG</t>
        </is>
      </c>
      <c r="C103" s="13" t="n">
        <v>86.12</v>
      </c>
      <c r="D103" s="13" t="n">
        <v>69.06999999999999</v>
      </c>
      <c r="E103" s="13">
        <f>IF(OR(C103="",D103=""),"",ABS(C103-D103))</f>
        <v/>
      </c>
      <c r="F103" s="11" t="inlineStr">
        <is>
          <t>UTA</t>
        </is>
      </c>
      <c r="G103" s="12" t="n">
        <v>130</v>
      </c>
      <c r="H103" s="14">
        <f>IF(OR(F103="",G103="",AND(I103&lt;&gt;"W",I103&lt;&gt;"L")),"",IF(I103="W",IF(G103&gt;0,G103/100,1),IF(G103&lt;0,G103/100,-1)))</f>
        <v/>
      </c>
      <c r="I103" s="11" t="inlineStr">
        <is>
          <t>W</t>
        </is>
      </c>
      <c r="J103" s="10" t="inlineStr">
        <is>
          <t>UTA 3, WPG 2</t>
        </is>
      </c>
      <c r="K103" s="10" t="inlineStr">
        <is>
          <t>ESPN BET closing</t>
        </is>
      </c>
    </row>
    <row r="104">
      <c r="A104" s="9" t="n">
        <v>45956</v>
      </c>
      <c r="B104" s="10" t="inlineStr">
        <is>
          <t>LAK @ CHI</t>
        </is>
      </c>
      <c r="C104" s="13" t="n">
        <v>84.23</v>
      </c>
      <c r="D104" s="13" t="n">
        <v>64.89</v>
      </c>
      <c r="E104" s="13">
        <f>IF(OR(C104="",D104=""),"",ABS(C104-D104))</f>
        <v/>
      </c>
      <c r="F104" s="11" t="inlineStr">
        <is>
          <t>LAK</t>
        </is>
      </c>
      <c r="G104" s="12" t="n">
        <v>-155</v>
      </c>
      <c r="H104" s="14">
        <f>IF(OR(F104="",G104="",AND(I104&lt;&gt;"W",I104&lt;&gt;"L")),"",IF(I104="W",IF(G104&gt;0,G104/100,1),IF(G104&lt;0,G104/100,-1)))</f>
        <v/>
      </c>
      <c r="I104" s="11" t="inlineStr">
        <is>
          <t>W</t>
        </is>
      </c>
      <c r="J104" s="10" t="inlineStr">
        <is>
          <t>LAK 3, CHI 1</t>
        </is>
      </c>
      <c r="K104" s="10" t="inlineStr">
        <is>
          <t>ESPN BET closing</t>
        </is>
      </c>
    </row>
    <row r="105">
      <c r="A105" s="9" t="n">
        <v>45956</v>
      </c>
      <c r="B105" s="10" t="inlineStr">
        <is>
          <t>DAL @ NSH</t>
        </is>
      </c>
      <c r="C105" s="13" t="n">
        <v>65.59999999999999</v>
      </c>
      <c r="D105" s="13" t="n">
        <v>55.77</v>
      </c>
      <c r="E105" s="13">
        <f>IF(OR(C105="",D105=""),"",ABS(C105-D105))</f>
        <v/>
      </c>
      <c r="F105" s="11" t="inlineStr">
        <is>
          <t>DAL</t>
        </is>
      </c>
      <c r="G105" s="12" t="n">
        <v>-145</v>
      </c>
      <c r="H105" s="14">
        <f>IF(OR(F105="",G105="",AND(I105&lt;&gt;"W",I105&lt;&gt;"L")),"",IF(I105="W",IF(G105&gt;0,G105/100,1),IF(G105&lt;0,G105/100,-1)))</f>
        <v/>
      </c>
      <c r="I105" s="11" t="inlineStr">
        <is>
          <t>W</t>
        </is>
      </c>
      <c r="J105" s="10" t="inlineStr">
        <is>
          <t>DAL 3, NSH 2</t>
        </is>
      </c>
      <c r="K105" s="10" t="inlineStr">
        <is>
          <t>ESPN BET closing</t>
        </is>
      </c>
    </row>
    <row r="106">
      <c r="A106" s="9" t="n">
        <v>45956</v>
      </c>
      <c r="B106" s="10" t="inlineStr">
        <is>
          <t>NYR @ CGY</t>
        </is>
      </c>
      <c r="C106" s="13" t="n">
        <v>71.89</v>
      </c>
      <c r="D106" s="13" t="n">
        <v>70.93000000000001</v>
      </c>
      <c r="E106" s="13">
        <f>IF(OR(C106="",D106=""),"",ABS(C106-D106))</f>
        <v/>
      </c>
      <c r="F106" s="11" t="inlineStr">
        <is>
          <t>NYR</t>
        </is>
      </c>
      <c r="G106" s="12" t="n">
        <v>-135</v>
      </c>
      <c r="H106" s="14">
        <f>IF(OR(F106="",G106="",AND(I106&lt;&gt;"W",I106&lt;&gt;"L")),"",IF(I106="W",IF(G106&gt;0,G106/100,1),IF(G106&lt;0,G106/100,-1)))</f>
        <v/>
      </c>
      <c r="I106" s="11" t="inlineStr">
        <is>
          <t>L</t>
        </is>
      </c>
      <c r="J106" s="10" t="inlineStr">
        <is>
          <t>NYR 1, CGY 5</t>
        </is>
      </c>
      <c r="K106" s="10" t="inlineStr">
        <is>
          <t>ESPN BET closing</t>
        </is>
      </c>
    </row>
    <row r="107">
      <c r="A107" s="9" t="n">
        <v>45956</v>
      </c>
      <c r="B107" s="10" t="inlineStr">
        <is>
          <t>EDM @ VAN</t>
        </is>
      </c>
      <c r="C107" s="13" t="n">
        <v>71.95999999999999</v>
      </c>
      <c r="D107" s="13" t="n">
        <v>71.45999999999999</v>
      </c>
      <c r="E107" s="13">
        <f>IF(OR(C107="",D107=""),"",ABS(C107-D107))</f>
        <v/>
      </c>
      <c r="F107" s="11" t="inlineStr">
        <is>
          <t>EDM</t>
        </is>
      </c>
      <c r="G107" s="12" t="n">
        <v>-160</v>
      </c>
      <c r="H107" s="14">
        <f>IF(OR(F107="",G107="",AND(I107&lt;&gt;"W",I107&lt;&gt;"L")),"",IF(I107="W",IF(G107&gt;0,G107/100,1),IF(G107&lt;0,G107/100,-1)))</f>
        <v/>
      </c>
      <c r="I107" s="11" t="inlineStr">
        <is>
          <t>L</t>
        </is>
      </c>
      <c r="J107" s="10" t="inlineStr">
        <is>
          <t>EDM 3, VAN 4</t>
        </is>
      </c>
      <c r="K107" s="10" t="inlineStr">
        <is>
          <t>ESPN BET closing</t>
        </is>
      </c>
    </row>
    <row r="108">
      <c r="A108" s="9" t="n">
        <v>45957</v>
      </c>
      <c r="B108" s="10" t="inlineStr">
        <is>
          <t>STL @ PIT</t>
        </is>
      </c>
      <c r="C108" s="13" t="n">
        <v>72.66</v>
      </c>
      <c r="D108" s="13" t="n">
        <v>58.74</v>
      </c>
      <c r="E108" s="13">
        <f>IF(OR(C108="",D108=""),"",ABS(C108-D108))</f>
        <v/>
      </c>
      <c r="F108" s="11" t="inlineStr">
        <is>
          <t>STL</t>
        </is>
      </c>
      <c r="G108" s="12" t="n">
        <v>-115</v>
      </c>
      <c r="H108" s="14">
        <f>IF(OR(F108="",G108="",AND(I108&lt;&gt;"W",I108&lt;&gt;"L")),"",IF(I108="W",IF(G108&gt;0,G108/100,1),IF(G108&lt;0,G108/100,-1)))</f>
        <v/>
      </c>
      <c r="I108" s="11" t="inlineStr">
        <is>
          <t>L</t>
        </is>
      </c>
      <c r="J108" s="10" t="inlineStr">
        <is>
          <t>STL 3, PIT 6</t>
        </is>
      </c>
      <c r="K108" s="10" t="inlineStr">
        <is>
          <t>ESPN BET closing</t>
        </is>
      </c>
    </row>
    <row r="109">
      <c r="A109" s="9" t="n">
        <v>45957</v>
      </c>
      <c r="B109" s="10" t="inlineStr">
        <is>
          <t>BOS @ OTT</t>
        </is>
      </c>
      <c r="C109" s="13" t="n">
        <v>57.99</v>
      </c>
      <c r="D109" s="13" t="n">
        <v>95.18000000000001</v>
      </c>
      <c r="E109" s="13">
        <f>IF(OR(C109="",D109=""),"",ABS(C109-D109))</f>
        <v/>
      </c>
      <c r="F109" s="11" t="inlineStr">
        <is>
          <t>OTT</t>
        </is>
      </c>
      <c r="G109" s="12" t="n">
        <v>-165</v>
      </c>
      <c r="H109" s="14">
        <f>IF(OR(F109="",G109="",AND(I109&lt;&gt;"W",I109&lt;&gt;"L")),"",IF(I109="W",IF(G109&gt;0,G109/100,1),IF(G109&lt;0,G109/100,-1)))</f>
        <v/>
      </c>
      <c r="I109" s="11" t="inlineStr">
        <is>
          <t>W</t>
        </is>
      </c>
      <c r="J109" s="10" t="inlineStr">
        <is>
          <t>BOS 2, OTT 7</t>
        </is>
      </c>
      <c r="K109" s="10" t="inlineStr">
        <is>
          <t>ESPN BET closing</t>
        </is>
      </c>
    </row>
    <row r="110">
      <c r="A110" s="9" t="n">
        <v>45958</v>
      </c>
      <c r="B110" s="10" t="inlineStr">
        <is>
          <t>PIT @ PHI</t>
        </is>
      </c>
      <c r="C110" s="13" t="n">
        <v>72.91</v>
      </c>
      <c r="D110" s="13" t="n">
        <v>65.75</v>
      </c>
      <c r="E110" s="13">
        <f>IF(OR(C110="",D110=""),"",ABS(C110-D110))</f>
        <v/>
      </c>
      <c r="F110" s="11" t="inlineStr">
        <is>
          <t>PIT</t>
        </is>
      </c>
      <c r="G110" s="12" t="n">
        <v>150</v>
      </c>
      <c r="H110" s="14">
        <f>IF(OR(F110="",G110="",AND(I110&lt;&gt;"W",I110&lt;&gt;"L")),"",IF(I110="W",IF(G110&gt;0,G110/100,1),IF(G110&lt;0,G110/100,-1)))</f>
        <v/>
      </c>
      <c r="I110" s="11" t="inlineStr">
        <is>
          <t>L</t>
        </is>
      </c>
      <c r="J110" s="10" t="inlineStr">
        <is>
          <t>PIT 2, PHI 3</t>
        </is>
      </c>
      <c r="K110" s="10" t="inlineStr">
        <is>
          <t>ESPN BET closing</t>
        </is>
      </c>
    </row>
    <row r="111">
      <c r="A111" s="9" t="n">
        <v>45958</v>
      </c>
      <c r="B111" s="10" t="inlineStr">
        <is>
          <t>CGY @ TOR</t>
        </is>
      </c>
      <c r="C111" s="13" t="n">
        <v>82.34</v>
      </c>
      <c r="D111" s="13" t="n">
        <v>72.31</v>
      </c>
      <c r="E111" s="13">
        <f>IF(OR(C111="",D111=""),"",ABS(C111-D111))</f>
        <v/>
      </c>
      <c r="F111" s="11" t="inlineStr">
        <is>
          <t>CGY</t>
        </is>
      </c>
      <c r="G111" s="12" t="n">
        <v>150</v>
      </c>
      <c r="H111" s="14">
        <f>IF(OR(F111="",G111="",AND(I111&lt;&gt;"W",I111&lt;&gt;"L")),"",IF(I111="W",IF(G111&gt;0,G111/100,1),IF(G111&lt;0,G111/100,-1)))</f>
        <v/>
      </c>
      <c r="I111" s="11" t="inlineStr">
        <is>
          <t>L</t>
        </is>
      </c>
      <c r="J111" s="10" t="inlineStr">
        <is>
          <t>CGY 3, TOR 4</t>
        </is>
      </c>
      <c r="K111" s="10" t="inlineStr">
        <is>
          <t>ESPN BET closing</t>
        </is>
      </c>
    </row>
    <row r="112">
      <c r="A112" s="9" t="n">
        <v>45958</v>
      </c>
      <c r="B112" s="10" t="inlineStr">
        <is>
          <t>VGK @ CAR</t>
        </is>
      </c>
      <c r="C112" s="13" t="n">
        <v>61.79</v>
      </c>
      <c r="D112" s="13" t="n">
        <v>74.40000000000001</v>
      </c>
      <c r="E112" s="13">
        <f>IF(OR(C112="",D112=""),"",ABS(C112-D112))</f>
        <v/>
      </c>
      <c r="F112" s="11" t="inlineStr">
        <is>
          <t>CAR</t>
        </is>
      </c>
      <c r="G112" s="12" t="n">
        <v>-165</v>
      </c>
      <c r="H112" s="14">
        <f>IF(OR(F112="",G112="",AND(I112&lt;&gt;"W",I112&lt;&gt;"L")),"",IF(I112="W",IF(G112&gt;0,G112/100,1),IF(G112&lt;0,G112/100,-1)))</f>
        <v/>
      </c>
      <c r="I112" s="11" t="inlineStr">
        <is>
          <t>L</t>
        </is>
      </c>
      <c r="J112" s="10" t="inlineStr">
        <is>
          <t>VGK 6, CAR 3</t>
        </is>
      </c>
      <c r="K112" s="10" t="inlineStr">
        <is>
          <t>ESPN BET closing</t>
        </is>
      </c>
    </row>
    <row r="113">
      <c r="A113" s="9" t="n">
        <v>45958</v>
      </c>
      <c r="B113" s="10" t="inlineStr">
        <is>
          <t>CBJ @ BUF</t>
        </is>
      </c>
      <c r="C113" s="13" t="n">
        <v>81.26000000000001</v>
      </c>
      <c r="D113" s="13" t="n">
        <v>67.69</v>
      </c>
      <c r="E113" s="13">
        <f>IF(OR(C113="",D113=""),"",ABS(C113-D113))</f>
        <v/>
      </c>
      <c r="F113" s="11" t="inlineStr">
        <is>
          <t>CBJ</t>
        </is>
      </c>
      <c r="G113" s="12" t="n">
        <v>-105</v>
      </c>
      <c r="H113" s="14">
        <f>IF(OR(F113="",G113="",AND(I113&lt;&gt;"W",I113&lt;&gt;"L")),"",IF(I113="W",IF(G113&gt;0,G113/100,1),IF(G113&lt;0,G113/100,-1)))</f>
        <v/>
      </c>
      <c r="I113" s="11" t="inlineStr">
        <is>
          <t>W</t>
        </is>
      </c>
      <c r="J113" s="10" t="inlineStr">
        <is>
          <t>CBJ 4, BUF 3</t>
        </is>
      </c>
      <c r="K113" s="10" t="inlineStr">
        <is>
          <t>ESPN BET closing</t>
        </is>
      </c>
    </row>
    <row r="114">
      <c r="A114" s="9" t="n">
        <v>45958</v>
      </c>
      <c r="B114" s="10" t="inlineStr">
        <is>
          <t>ANA @ FLA</t>
        </is>
      </c>
      <c r="C114" s="13" t="n">
        <v>64.36</v>
      </c>
      <c r="D114" s="13" t="n">
        <v>87.39</v>
      </c>
      <c r="E114" s="13">
        <f>IF(OR(C114="",D114=""),"",ABS(C114-D114))</f>
        <v/>
      </c>
      <c r="F114" s="11" t="inlineStr">
        <is>
          <t>FLA</t>
        </is>
      </c>
      <c r="G114" s="12" t="n">
        <v>-175</v>
      </c>
      <c r="H114" s="14">
        <f>IF(OR(F114="",G114="",AND(I114&lt;&gt;"W",I114&lt;&gt;"L")),"",IF(I114="W",IF(G114&gt;0,G114/100,1),IF(G114&lt;0,G114/100,-1)))</f>
        <v/>
      </c>
      <c r="I114" s="11" t="inlineStr">
        <is>
          <t>L</t>
        </is>
      </c>
      <c r="J114" s="10" t="inlineStr">
        <is>
          <t>ANA 3, FLA 2</t>
        </is>
      </c>
      <c r="K114" s="10" t="inlineStr">
        <is>
          <t>ESPN BET closing</t>
        </is>
      </c>
    </row>
    <row r="115">
      <c r="A115" s="9" t="n">
        <v>45958</v>
      </c>
      <c r="B115" s="10" t="inlineStr">
        <is>
          <t>NYI @ BOS</t>
        </is>
      </c>
      <c r="C115" s="13" t="n">
        <v>74.25</v>
      </c>
      <c r="D115" s="13" t="n">
        <v>57.81</v>
      </c>
      <c r="E115" s="13">
        <f>IF(OR(C115="",D115=""),"",ABS(C115-D115))</f>
        <v/>
      </c>
      <c r="F115" s="11" t="inlineStr">
        <is>
          <t>NYI</t>
        </is>
      </c>
      <c r="G115" s="12" t="n">
        <v>-145</v>
      </c>
      <c r="H115" s="14">
        <f>IF(OR(F115="",G115="",AND(I115&lt;&gt;"W",I115&lt;&gt;"L")),"",IF(I115="W",IF(G115&gt;0,G115/100,1),IF(G115&lt;0,G115/100,-1)))</f>
        <v/>
      </c>
      <c r="I115" s="11" t="inlineStr">
        <is>
          <t>L</t>
        </is>
      </c>
      <c r="J115" s="10" t="inlineStr">
        <is>
          <t>NYI 2, BOS 5</t>
        </is>
      </c>
      <c r="K115" s="10" t="inlineStr">
        <is>
          <t>ESPN BET closing</t>
        </is>
      </c>
    </row>
    <row r="116">
      <c r="A116" s="9" t="n">
        <v>45958</v>
      </c>
      <c r="B116" s="10" t="inlineStr">
        <is>
          <t>TBL @ NSH</t>
        </is>
      </c>
      <c r="C116" s="13" t="n">
        <v>78.20999999999999</v>
      </c>
      <c r="D116" s="13" t="n">
        <v>68.55</v>
      </c>
      <c r="E116" s="13">
        <f>IF(OR(C116="",D116=""),"",ABS(C116-D116))</f>
        <v/>
      </c>
      <c r="F116" s="11" t="inlineStr">
        <is>
          <t>TBL</t>
        </is>
      </c>
      <c r="G116" s="12" t="n">
        <v>-175</v>
      </c>
      <c r="H116" s="14">
        <f>IF(OR(F116="",G116="",AND(I116&lt;&gt;"W",I116&lt;&gt;"L")),"",IF(I116="W",IF(G116&gt;0,G116/100,1),IF(G116&lt;0,G116/100,-1)))</f>
        <v/>
      </c>
      <c r="I116" s="11" t="inlineStr">
        <is>
          <t>W</t>
        </is>
      </c>
      <c r="J116" s="10" t="inlineStr">
        <is>
          <t>TBL 5, NSH 2</t>
        </is>
      </c>
      <c r="K116" s="10" t="inlineStr">
        <is>
          <t>ESPN BET closing</t>
        </is>
      </c>
    </row>
    <row r="117">
      <c r="A117" s="9" t="n">
        <v>45958</v>
      </c>
      <c r="B117" s="10" t="inlineStr">
        <is>
          <t>WPG @ MIN</t>
        </is>
      </c>
      <c r="C117" s="13" t="n">
        <v>66.27</v>
      </c>
      <c r="D117" s="13" t="n">
        <v>71.16</v>
      </c>
      <c r="E117" s="13">
        <f>IF(OR(C117="",D117=""),"",ABS(C117-D117))</f>
        <v/>
      </c>
      <c r="F117" s="11" t="inlineStr">
        <is>
          <t>MIN</t>
        </is>
      </c>
      <c r="G117" s="12" t="n">
        <v>-115</v>
      </c>
      <c r="H117" s="14">
        <f>IF(OR(F117="",G117="",AND(I117&lt;&gt;"W",I117&lt;&gt;"L")),"",IF(I117="W",IF(G117&gt;0,G117/100,1),IF(G117&lt;0,G117/100,-1)))</f>
        <v/>
      </c>
      <c r="I117" s="11" t="inlineStr">
        <is>
          <t>L</t>
        </is>
      </c>
      <c r="J117" s="10" t="inlineStr">
        <is>
          <t>WPG 4, MIN 3</t>
        </is>
      </c>
      <c r="K117" s="10" t="inlineStr">
        <is>
          <t>ESPN BET closing</t>
        </is>
      </c>
    </row>
    <row r="118">
      <c r="A118" s="9" t="n">
        <v>45958</v>
      </c>
      <c r="B118" s="10" t="inlineStr">
        <is>
          <t>DET @ STL</t>
        </is>
      </c>
      <c r="C118" s="13" t="n">
        <v>67.34</v>
      </c>
      <c r="D118" s="13" t="n">
        <v>67.09</v>
      </c>
      <c r="E118" s="13">
        <f>IF(OR(C118="",D118=""),"",ABS(C118-D118))</f>
        <v/>
      </c>
      <c r="F118" s="11" t="inlineStr">
        <is>
          <t>DET</t>
        </is>
      </c>
      <c r="G118" s="12" t="n">
        <v>-105</v>
      </c>
      <c r="H118" s="14">
        <f>IF(OR(F118="",G118="",AND(I118&lt;&gt;"W",I118&lt;&gt;"L")),"",IF(I118="W",IF(G118&gt;0,G118/100,1),IF(G118&lt;0,G118/100,-1)))</f>
        <v/>
      </c>
      <c r="I118" s="11" t="inlineStr">
        <is>
          <t>W</t>
        </is>
      </c>
      <c r="J118" s="10" t="inlineStr">
        <is>
          <t>DET 5, STL 2</t>
        </is>
      </c>
      <c r="K118" s="10" t="inlineStr">
        <is>
          <t>ESPN BET closing</t>
        </is>
      </c>
    </row>
    <row r="119">
      <c r="A119" s="9" t="n">
        <v>45958</v>
      </c>
      <c r="B119" s="10" t="inlineStr">
        <is>
          <t>WSH @ DAL</t>
        </is>
      </c>
      <c r="C119" s="13" t="n">
        <v>44.82</v>
      </c>
      <c r="D119" s="13" t="n">
        <v>71.45</v>
      </c>
      <c r="E119" s="13">
        <f>IF(OR(C119="",D119=""),"",ABS(C119-D119))</f>
        <v/>
      </c>
      <c r="F119" s="11" t="inlineStr">
        <is>
          <t>DAL</t>
        </is>
      </c>
      <c r="G119" s="12" t="n">
        <v>-125</v>
      </c>
      <c r="H119" s="14">
        <f>IF(OR(F119="",G119="",AND(I119&lt;&gt;"W",I119&lt;&gt;"L")),"",IF(I119="W",IF(G119&gt;0,G119/100,1),IF(G119&lt;0,G119/100,-1)))</f>
        <v/>
      </c>
      <c r="I119" s="11" t="inlineStr">
        <is>
          <t>W</t>
        </is>
      </c>
      <c r="J119" s="10" t="inlineStr">
        <is>
          <t>WSH 0, DAL 1</t>
        </is>
      </c>
      <c r="K119" s="10" t="inlineStr">
        <is>
          <t>ESPN BET closing</t>
        </is>
      </c>
    </row>
    <row r="120">
      <c r="A120" s="9" t="n">
        <v>45958</v>
      </c>
      <c r="B120" s="10" t="inlineStr">
        <is>
          <t>OTT @ CHI</t>
        </is>
      </c>
      <c r="C120" s="13" t="n">
        <v>82.19</v>
      </c>
      <c r="D120" s="13" t="n">
        <v>64.15000000000001</v>
      </c>
      <c r="E120" s="13">
        <f>IF(OR(C120="",D120=""),"",ABS(C120-D120))</f>
        <v/>
      </c>
      <c r="F120" s="11" t="inlineStr">
        <is>
          <t>OTT</t>
        </is>
      </c>
      <c r="G120" s="12" t="n">
        <v>-145</v>
      </c>
      <c r="H120" s="14">
        <f>IF(OR(F120="",G120="",AND(I120&lt;&gt;"W",I120&lt;&gt;"L")),"",IF(I120="W",IF(G120&gt;0,G120/100,1),IF(G120&lt;0,G120/100,-1)))</f>
        <v/>
      </c>
      <c r="I120" s="11" t="inlineStr">
        <is>
          <t>L</t>
        </is>
      </c>
      <c r="J120" s="10" t="inlineStr">
        <is>
          <t>OTT 3, CHI 7</t>
        </is>
      </c>
      <c r="K120" s="10" t="inlineStr">
        <is>
          <t>ESPN BET closing</t>
        </is>
      </c>
    </row>
    <row r="121">
      <c r="A121" s="9" t="n">
        <v>45958</v>
      </c>
      <c r="B121" s="10" t="inlineStr">
        <is>
          <t>NJD @ COL</t>
        </is>
      </c>
      <c r="C121" s="13" t="n">
        <v>70.97</v>
      </c>
      <c r="D121" s="13" t="n">
        <v>69.03</v>
      </c>
      <c r="E121" s="13">
        <f>IF(OR(C121="",D121=""),"",ABS(C121-D121))</f>
        <v/>
      </c>
      <c r="F121" s="11" t="inlineStr">
        <is>
          <t>NJD</t>
        </is>
      </c>
      <c r="G121" s="12" t="n">
        <v>145</v>
      </c>
      <c r="H121" s="14">
        <f>IF(OR(F121="",G121="",AND(I121&lt;&gt;"W",I121&lt;&gt;"L")),"",IF(I121="W",IF(G121&gt;0,G121/100,1),IF(G121&lt;0,G121/100,-1)))</f>
        <v/>
      </c>
      <c r="I121" s="11" t="inlineStr">
        <is>
          <t>L</t>
        </is>
      </c>
      <c r="J121" s="10" t="inlineStr">
        <is>
          <t>NJD 4, COL 8</t>
        </is>
      </c>
      <c r="K121" s="10" t="inlineStr">
        <is>
          <t>ESPN BET closing</t>
        </is>
      </c>
    </row>
    <row r="122">
      <c r="A122" s="9" t="n">
        <v>45958</v>
      </c>
      <c r="B122" s="10" t="inlineStr">
        <is>
          <t>UTA @ EDM</t>
        </is>
      </c>
      <c r="C122" s="13" t="n">
        <v>73.73</v>
      </c>
      <c r="D122" s="13" t="n">
        <v>72.15000000000001</v>
      </c>
      <c r="E122" s="13">
        <f>IF(OR(C122="",D122=""),"",ABS(C122-D122))</f>
        <v/>
      </c>
      <c r="F122" s="11" t="inlineStr">
        <is>
          <t>UTA</t>
        </is>
      </c>
      <c r="G122" s="12" t="n">
        <v>125</v>
      </c>
      <c r="H122" s="14">
        <f>IF(OR(F122="",G122="",AND(I122&lt;&gt;"W",I122&lt;&gt;"L")),"",IF(I122="W",IF(G122&gt;0,G122/100,1),IF(G122&lt;0,G122/100,-1)))</f>
        <v/>
      </c>
      <c r="I122" s="11" t="inlineStr">
        <is>
          <t>L</t>
        </is>
      </c>
      <c r="J122" s="10" t="inlineStr">
        <is>
          <t>UTA 3, EDM 6</t>
        </is>
      </c>
      <c r="K122" s="10" t="inlineStr">
        <is>
          <t>ESPN BET closing</t>
        </is>
      </c>
    </row>
    <row r="123">
      <c r="A123" s="9" t="n">
        <v>45958</v>
      </c>
      <c r="B123" s="10" t="inlineStr">
        <is>
          <t>NYR @ VAN</t>
        </is>
      </c>
      <c r="C123" s="13" t="n">
        <v>57.66</v>
      </c>
      <c r="D123" s="13" t="n">
        <v>67.84999999999999</v>
      </c>
      <c r="E123" s="13">
        <f>IF(OR(C123="",D123=""),"",ABS(C123-D123))</f>
        <v/>
      </c>
      <c r="F123" s="11" t="inlineStr">
        <is>
          <t>VAN</t>
        </is>
      </c>
      <c r="G123" s="12" t="n">
        <v>105</v>
      </c>
      <c r="H123" s="14">
        <f>IF(OR(F123="",G123="",AND(I123&lt;&gt;"W",I123&lt;&gt;"L")),"",IF(I123="W",IF(G123&gt;0,G123/100,1),IF(G123&lt;0,G123/100,-1)))</f>
        <v/>
      </c>
      <c r="I123" s="11" t="inlineStr">
        <is>
          <t>L</t>
        </is>
      </c>
      <c r="J123" s="10" t="inlineStr">
        <is>
          <t>NYR 2, VAN 0</t>
        </is>
      </c>
      <c r="K123" s="10" t="inlineStr">
        <is>
          <t>ESPN BET closing</t>
        </is>
      </c>
    </row>
    <row r="124">
      <c r="A124" s="9" t="n">
        <v>45958</v>
      </c>
      <c r="B124" s="10" t="inlineStr">
        <is>
          <t>MTL @ SEA</t>
        </is>
      </c>
      <c r="C124" s="13" t="n">
        <v>68.54000000000001</v>
      </c>
      <c r="D124" s="13" t="n">
        <v>68.04000000000001</v>
      </c>
      <c r="E124" s="13">
        <f>IF(OR(C124="",D124=""),"",ABS(C124-D124))</f>
        <v/>
      </c>
      <c r="F124" s="11" t="inlineStr">
        <is>
          <t>MTL</t>
        </is>
      </c>
      <c r="G124" s="12" t="n">
        <v>-125</v>
      </c>
      <c r="H124" s="14">
        <f>IF(OR(F124="",G124="",AND(I124&lt;&gt;"W",I124&lt;&gt;"L")),"",IF(I124="W",IF(G124&gt;0,G124/100,1),IF(G124&lt;0,G124/100,-1)))</f>
        <v/>
      </c>
      <c r="I124" s="11" t="inlineStr">
        <is>
          <t>W</t>
        </is>
      </c>
      <c r="J124" s="10" t="inlineStr">
        <is>
          <t>MTL 4, SEA 3</t>
        </is>
      </c>
      <c r="K124" s="10" t="inlineStr">
        <is>
          <t>ESPN BET closing</t>
        </is>
      </c>
    </row>
    <row r="125">
      <c r="A125" s="9" t="n">
        <v>45958</v>
      </c>
      <c r="B125" s="10" t="inlineStr">
        <is>
          <t>LAK @ SJS</t>
        </is>
      </c>
      <c r="C125" s="13" t="n">
        <v>75.84999999999999</v>
      </c>
      <c r="D125" s="13" t="n">
        <v>68.84</v>
      </c>
      <c r="E125" s="13">
        <f>IF(OR(C125="",D125=""),"",ABS(C125-D125))</f>
        <v/>
      </c>
      <c r="F125" s="11" t="inlineStr">
        <is>
          <t>LAK</t>
        </is>
      </c>
      <c r="G125" s="12" t="n">
        <v>-210</v>
      </c>
      <c r="H125" s="14">
        <f>IF(OR(F125="",G125="",AND(I125&lt;&gt;"W",I125&lt;&gt;"L")),"",IF(I125="W",IF(G125&gt;0,G125/100,1),IF(G125&lt;0,G125/100,-1)))</f>
        <v/>
      </c>
      <c r="I125" s="11" t="inlineStr">
        <is>
          <t>W</t>
        </is>
      </c>
      <c r="J125" s="10" t="inlineStr">
        <is>
          <t>LAK 4, SJS 3</t>
        </is>
      </c>
      <c r="K125" s="10" t="inlineStr">
        <is>
          <t>ESPN BET closing</t>
        </is>
      </c>
    </row>
    <row r="126">
      <c r="A126" s="9" t="n">
        <v>45959</v>
      </c>
      <c r="B126" s="10" t="inlineStr">
        <is>
          <t>TOR @ CBJ</t>
        </is>
      </c>
      <c r="C126" s="13" t="n">
        <v>72.04000000000001</v>
      </c>
      <c r="D126" s="13" t="n">
        <v>78.58</v>
      </c>
      <c r="E126" s="13">
        <f>IF(OR(C126="",D126=""),"",ABS(C126-D126))</f>
        <v/>
      </c>
      <c r="F126" s="11" t="inlineStr">
        <is>
          <t>CBJ</t>
        </is>
      </c>
      <c r="G126" s="12" t="n">
        <v>-125</v>
      </c>
      <c r="H126" s="14">
        <f>IF(OR(F126="",G126="",AND(I126&lt;&gt;"W",I126&lt;&gt;"L")),"",IF(I126="W",IF(G126&gt;0,G126/100,1),IF(G126&lt;0,G126/100,-1)))</f>
        <v/>
      </c>
      <c r="I126" s="11" t="inlineStr">
        <is>
          <t>W</t>
        </is>
      </c>
      <c r="J126" s="10" t="inlineStr">
        <is>
          <t>TOR 3, CBJ 6</t>
        </is>
      </c>
      <c r="K126" s="10" t="inlineStr">
        <is>
          <t>ESPN BET closing</t>
        </is>
      </c>
    </row>
    <row r="127">
      <c r="A127" s="9" t="n">
        <v>45960</v>
      </c>
      <c r="B127" s="10" t="inlineStr">
        <is>
          <t>BUF @ BOS</t>
        </is>
      </c>
      <c r="C127" s="13" t="n">
        <v>61.42</v>
      </c>
      <c r="D127" s="13" t="n">
        <v>71.66</v>
      </c>
      <c r="E127" s="13">
        <f>IF(OR(C127="",D127=""),"",ABS(C127-D127))</f>
        <v/>
      </c>
      <c r="F127" s="11" t="inlineStr">
        <is>
          <t>BOS</t>
        </is>
      </c>
      <c r="G127" s="12" t="n">
        <v>120</v>
      </c>
      <c r="H127" s="14">
        <f>IF(OR(F127="",G127="",AND(I127&lt;&gt;"W",I127&lt;&gt;"L")),"",IF(I127="W",IF(G127&gt;0,G127/100,1),IF(G127&lt;0,G127/100,-1)))</f>
        <v/>
      </c>
      <c r="I127" s="11" t="inlineStr">
        <is>
          <t>W</t>
        </is>
      </c>
      <c r="J127" s="10" t="inlineStr">
        <is>
          <t>BUF 3, BOS 4</t>
        </is>
      </c>
      <c r="K127" s="10" t="inlineStr">
        <is>
          <t>ESPN BET closing</t>
        </is>
      </c>
    </row>
    <row r="128">
      <c r="A128" s="9" t="n">
        <v>45960</v>
      </c>
      <c r="B128" s="10" t="inlineStr">
        <is>
          <t>CGY @ OTT</t>
        </is>
      </c>
      <c r="C128" s="13" t="n">
        <v>67.95999999999999</v>
      </c>
      <c r="D128" s="13" t="n">
        <v>59.66</v>
      </c>
      <c r="E128" s="13">
        <f>IF(OR(C128="",D128=""),"",ABS(C128-D128))</f>
        <v/>
      </c>
      <c r="F128" s="11" t="inlineStr">
        <is>
          <t>CGY</t>
        </is>
      </c>
      <c r="G128" s="12" t="n">
        <v>140</v>
      </c>
      <c r="H128" s="14">
        <f>IF(OR(F128="",G128="",AND(I128&lt;&gt;"W",I128&lt;&gt;"L")),"",IF(I128="W",IF(G128&gt;0,G128/100,1),IF(G128&lt;0,G128/100,-1)))</f>
        <v/>
      </c>
      <c r="I128" s="11" t="inlineStr">
        <is>
          <t>L</t>
        </is>
      </c>
      <c r="J128" s="10" t="inlineStr">
        <is>
          <t>CGY 3, OTT 4</t>
        </is>
      </c>
      <c r="K128" s="10" t="inlineStr">
        <is>
          <t>ESPN BET closing</t>
        </is>
      </c>
    </row>
    <row r="129">
      <c r="A129" s="9" t="n">
        <v>45960</v>
      </c>
      <c r="B129" s="10" t="inlineStr">
        <is>
          <t>DAL @ TBL</t>
        </is>
      </c>
      <c r="C129" s="13" t="n">
        <v>65.73</v>
      </c>
      <c r="D129" s="13" t="n">
        <v>85.11</v>
      </c>
      <c r="E129" s="13">
        <f>IF(OR(C129="",D129=""),"",ABS(C129-D129))</f>
        <v/>
      </c>
      <c r="F129" s="11" t="inlineStr">
        <is>
          <t>TBL</t>
        </is>
      </c>
      <c r="G129" s="12" t="n">
        <v>-155</v>
      </c>
      <c r="H129" s="14">
        <f>IF(OR(F129="",G129="",AND(I129&lt;&gt;"W",I129&lt;&gt;"L")),"",IF(I129="W",IF(G129&gt;0,G129/100,1),IF(G129&lt;0,G129/100,-1)))</f>
        <v/>
      </c>
      <c r="I129" s="11" t="inlineStr">
        <is>
          <t>W</t>
        </is>
      </c>
      <c r="J129" s="10" t="inlineStr">
        <is>
          <t>DAL 1, TBL 2</t>
        </is>
      </c>
      <c r="K129" s="10" t="inlineStr">
        <is>
          <t>ESPN BET closing</t>
        </is>
      </c>
    </row>
    <row r="130">
      <c r="A130" s="9" t="n">
        <v>45960</v>
      </c>
      <c r="B130" s="10" t="inlineStr">
        <is>
          <t>NSH @ PHI</t>
        </is>
      </c>
      <c r="C130" s="13" t="n">
        <v>54.89</v>
      </c>
      <c r="D130" s="13" t="n">
        <v>75.34999999999999</v>
      </c>
      <c r="E130" s="13">
        <f>IF(OR(C130="",D130=""),"",ABS(C130-D130))</f>
        <v/>
      </c>
      <c r="F130" s="11" t="inlineStr">
        <is>
          <t>PHI</t>
        </is>
      </c>
      <c r="G130" s="12" t="n">
        <v>-155</v>
      </c>
      <c r="H130" s="14">
        <f>IF(OR(F130="",G130="",AND(I130&lt;&gt;"W",I130&lt;&gt;"L")),"",IF(I130="W",IF(G130&gt;0,G130/100,1),IF(G130&lt;0,G130/100,-1)))</f>
        <v/>
      </c>
      <c r="I130" s="11" t="inlineStr">
        <is>
          <t>W</t>
        </is>
      </c>
      <c r="J130" s="10" t="inlineStr">
        <is>
          <t>NSH 1, PHI 4</t>
        </is>
      </c>
      <c r="K130" s="10" t="inlineStr">
        <is>
          <t>ESPN BET closing</t>
        </is>
      </c>
    </row>
    <row r="131">
      <c r="A131" s="9" t="n">
        <v>45960</v>
      </c>
      <c r="B131" s="10" t="inlineStr">
        <is>
          <t>NYI @ CAR</t>
        </is>
      </c>
      <c r="C131" s="13" t="n">
        <v>68.34</v>
      </c>
      <c r="D131" s="13" t="n">
        <v>56.46</v>
      </c>
      <c r="E131" s="13">
        <f>IF(OR(C131="",D131=""),"",ABS(C131-D131))</f>
        <v/>
      </c>
      <c r="F131" s="11" t="inlineStr">
        <is>
          <t>NYI</t>
        </is>
      </c>
      <c r="G131" s="12" t="n">
        <v>180</v>
      </c>
      <c r="H131" s="14">
        <f>IF(OR(F131="",G131="",AND(I131&lt;&gt;"W",I131&lt;&gt;"L")),"",IF(I131="W",IF(G131&gt;0,G131/100,1),IF(G131&lt;0,G131/100,-1)))</f>
        <v/>
      </c>
      <c r="I131" s="11" t="inlineStr">
        <is>
          <t>L</t>
        </is>
      </c>
      <c r="J131" s="10" t="inlineStr">
        <is>
          <t>NYI 2, CAR 6</t>
        </is>
      </c>
      <c r="K131" s="10" t="inlineStr">
        <is>
          <t>ESPN BET closing</t>
        </is>
      </c>
    </row>
    <row r="132">
      <c r="A132" s="9" t="n">
        <v>45960</v>
      </c>
      <c r="B132" s="10" t="inlineStr">
        <is>
          <t>VAN @ STL</t>
        </is>
      </c>
      <c r="C132" s="13" t="n">
        <v>65.54000000000001</v>
      </c>
      <c r="D132" s="13" t="n">
        <v>60.67</v>
      </c>
      <c r="E132" s="13">
        <f>IF(OR(C132="",D132=""),"",ABS(C132-D132))</f>
        <v/>
      </c>
      <c r="F132" s="11" t="inlineStr">
        <is>
          <t>VAN</t>
        </is>
      </c>
      <c r="G132" s="12" t="n">
        <v>140</v>
      </c>
      <c r="H132" s="14">
        <f>IF(OR(F132="",G132="",AND(I132&lt;&gt;"W",I132&lt;&gt;"L")),"",IF(I132="W",IF(G132&gt;0,G132/100,1),IF(G132&lt;0,G132/100,-1)))</f>
        <v/>
      </c>
      <c r="I132" s="11" t="inlineStr">
        <is>
          <t>W</t>
        </is>
      </c>
      <c r="J132" s="10" t="inlineStr">
        <is>
          <t>VAN 4, STL 3</t>
        </is>
      </c>
      <c r="K132" s="10" t="inlineStr">
        <is>
          <t>ESPN BET closing</t>
        </is>
      </c>
    </row>
    <row r="133">
      <c r="A133" s="9" t="n">
        <v>45960</v>
      </c>
      <c r="B133" s="10" t="inlineStr">
        <is>
          <t>PIT @ MIN</t>
        </is>
      </c>
      <c r="C133" s="13" t="n">
        <v>64.65000000000001</v>
      </c>
      <c r="D133" s="13" t="n">
        <v>75.93000000000001</v>
      </c>
      <c r="E133" s="13">
        <f>IF(OR(C133="",D133=""),"",ABS(C133-D133))</f>
        <v/>
      </c>
      <c r="F133" s="11" t="inlineStr">
        <is>
          <t>MIN</t>
        </is>
      </c>
      <c r="G133" s="12" t="n">
        <v>-175</v>
      </c>
      <c r="H133" s="14">
        <f>IF(OR(F133="",G133="",AND(I133&lt;&gt;"W",I133&lt;&gt;"L")),"",IF(I133="W",IF(G133&gt;0,G133/100,1),IF(G133&lt;0,G133/100,-1)))</f>
        <v/>
      </c>
      <c r="I133" s="11" t="inlineStr">
        <is>
          <t>L</t>
        </is>
      </c>
      <c r="J133" s="10" t="inlineStr">
        <is>
          <t>PIT 4, MIN 1</t>
        </is>
      </c>
      <c r="K133" s="10" t="inlineStr">
        <is>
          <t>ESPN BET closing</t>
        </is>
      </c>
    </row>
    <row r="134">
      <c r="A134" s="9" t="n">
        <v>45960</v>
      </c>
      <c r="B134" s="10" t="inlineStr">
        <is>
          <t>CHI @ WPG</t>
        </is>
      </c>
      <c r="C134" s="13" t="n">
        <v>80.34</v>
      </c>
      <c r="D134" s="13" t="n">
        <v>64.06999999999999</v>
      </c>
      <c r="E134" s="13">
        <f>IF(OR(C134="",D134=""),"",ABS(C134-D134))</f>
        <v/>
      </c>
      <c r="F134" s="11" t="inlineStr">
        <is>
          <t>CHI</t>
        </is>
      </c>
      <c r="G134" s="12" t="n">
        <v>160</v>
      </c>
      <c r="H134" s="14">
        <f>IF(OR(F134="",G134="",AND(I134&lt;&gt;"W",I134&lt;&gt;"L")),"",IF(I134="W",IF(G134&gt;0,G134/100,1),IF(G134&lt;0,G134/100,-1)))</f>
        <v/>
      </c>
      <c r="I134" s="11" t="inlineStr">
        <is>
          <t>L</t>
        </is>
      </c>
      <c r="J134" s="10" t="inlineStr">
        <is>
          <t>CHI 3, WPG 6</t>
        </is>
      </c>
      <c r="K134" s="10" t="inlineStr">
        <is>
          <t>ESPN BET closing</t>
        </is>
      </c>
    </row>
    <row r="135">
      <c r="A135" s="9" t="n">
        <v>45960</v>
      </c>
      <c r="B135" s="10" t="inlineStr">
        <is>
          <t>NYR @ EDM</t>
        </is>
      </c>
      <c r="C135" s="13" t="n">
        <v>74.45999999999999</v>
      </c>
      <c r="D135" s="13" t="n">
        <v>74.86</v>
      </c>
      <c r="E135" s="13">
        <f>IF(OR(C135="",D135=""),"",ABS(C135-D135))</f>
        <v/>
      </c>
      <c r="F135" s="11" t="inlineStr">
        <is>
          <t>EDM</t>
        </is>
      </c>
      <c r="G135" s="12" t="n">
        <v>-155</v>
      </c>
      <c r="H135" s="14">
        <f>IF(OR(F135="",G135="",AND(I135&lt;&gt;"W",I135&lt;&gt;"L")),"",IF(I135="W",IF(G135&gt;0,G135/100,1),IF(G135&lt;0,G135/100,-1)))</f>
        <v/>
      </c>
      <c r="I135" s="11" t="inlineStr">
        <is>
          <t>L</t>
        </is>
      </c>
      <c r="J135" s="10" t="inlineStr">
        <is>
          <t>NYR 4, EDM 3</t>
        </is>
      </c>
      <c r="K135" s="10" t="inlineStr">
        <is>
          <t>ESPN BET closing</t>
        </is>
      </c>
    </row>
    <row r="136">
      <c r="A136" s="9" t="n">
        <v>45960</v>
      </c>
      <c r="B136" s="10" t="inlineStr">
        <is>
          <t>NJD @ SJS</t>
        </is>
      </c>
      <c r="C136" s="13" t="n">
        <v>55.95</v>
      </c>
      <c r="D136" s="13" t="n">
        <v>77.56999999999999</v>
      </c>
      <c r="E136" s="13">
        <f>IF(OR(C136="",D136=""),"",ABS(C136-D136))</f>
        <v/>
      </c>
      <c r="F136" s="11" t="inlineStr">
        <is>
          <t>SJS</t>
        </is>
      </c>
      <c r="G136" s="12" t="n">
        <v>180</v>
      </c>
      <c r="H136" s="14">
        <f>IF(OR(F136="",G136="",AND(I136&lt;&gt;"W",I136&lt;&gt;"L")),"",IF(I136="W",IF(G136&gt;0,G136/100,1),IF(G136&lt;0,G136/100,-1)))</f>
        <v/>
      </c>
      <c r="I136" s="11" t="inlineStr">
        <is>
          <t>W</t>
        </is>
      </c>
      <c r="J136" s="10" t="inlineStr">
        <is>
          <t>NJD 2, SJS 5</t>
        </is>
      </c>
      <c r="K136" s="10" t="inlineStr">
        <is>
          <t>ESPN BET closing</t>
        </is>
      </c>
    </row>
    <row r="137">
      <c r="A137" s="9" t="n">
        <v>45960</v>
      </c>
      <c r="B137" s="10" t="inlineStr">
        <is>
          <t>DET @ LAK</t>
        </is>
      </c>
      <c r="C137" s="13" t="n">
        <v>79.33</v>
      </c>
      <c r="D137" s="13" t="n">
        <v>62.43</v>
      </c>
      <c r="E137" s="13">
        <f>IF(OR(C137="",D137=""),"",ABS(C137-D137))</f>
        <v/>
      </c>
      <c r="F137" s="11" t="inlineStr">
        <is>
          <t>DET</t>
        </is>
      </c>
      <c r="G137" s="12" t="n">
        <v>125</v>
      </c>
      <c r="H137" s="14">
        <f>IF(OR(F137="",G137="",AND(I137&lt;&gt;"W",I137&lt;&gt;"L")),"",IF(I137="W",IF(G137&gt;0,G137/100,1),IF(G137&lt;0,G137/100,-1)))</f>
        <v/>
      </c>
      <c r="I137" s="11" t="inlineStr">
        <is>
          <t>W</t>
        </is>
      </c>
      <c r="J137" s="10" t="inlineStr">
        <is>
          <t>DET 4, LAK 3</t>
        </is>
      </c>
      <c r="K137" s="10" t="inlineStr">
        <is>
          <t>ESPN BET closing</t>
        </is>
      </c>
    </row>
    <row r="138">
      <c r="A138" s="9" t="n">
        <v>45961</v>
      </c>
      <c r="B138" s="10" t="inlineStr">
        <is>
          <t>COL @ VGK</t>
        </is>
      </c>
      <c r="C138" s="13" t="n">
        <v>84.05</v>
      </c>
      <c r="D138" s="13" t="n">
        <v>83.54000000000001</v>
      </c>
      <c r="E138" s="13">
        <f>IF(OR(C138="",D138=""),"",ABS(C138-D138))</f>
        <v/>
      </c>
      <c r="F138" s="11" t="inlineStr">
        <is>
          <t>COL</t>
        </is>
      </c>
      <c r="G138" s="12" t="n">
        <v>-140</v>
      </c>
      <c r="H138" s="14">
        <f>IF(OR(F138="",G138="",AND(I138&lt;&gt;"W",I138&lt;&gt;"L")),"",IF(I138="W",IF(G138&gt;0,G138/100,1),IF(G138&lt;0,G138/100,-1)))</f>
        <v/>
      </c>
      <c r="I138" s="11" t="inlineStr">
        <is>
          <t>W</t>
        </is>
      </c>
      <c r="J138" s="10" t="inlineStr">
        <is>
          <t>COL 4, VGK 2</t>
        </is>
      </c>
      <c r="K138" s="10" t="inlineStr">
        <is>
          <t>ESPN BET closing</t>
        </is>
      </c>
    </row>
    <row r="139">
      <c r="A139" s="9" t="n">
        <v>45961</v>
      </c>
      <c r="B139" s="10" t="inlineStr">
        <is>
          <t>NYI @ WSH</t>
        </is>
      </c>
      <c r="C139" s="13" t="n">
        <v>46.34</v>
      </c>
      <c r="D139" s="13" t="n">
        <v>74.27</v>
      </c>
      <c r="E139" s="13">
        <f>IF(OR(C139="",D139=""),"",ABS(C139-D139))</f>
        <v/>
      </c>
      <c r="F139" s="11" t="inlineStr">
        <is>
          <t>WSH</t>
        </is>
      </c>
      <c r="G139" s="12" t="n">
        <v>-225</v>
      </c>
      <c r="H139" s="14">
        <f>IF(OR(F139="",G139="",AND(I139&lt;&gt;"W",I139&lt;&gt;"L")),"",IF(I139="W",IF(G139&gt;0,G139/100,1),IF(G139&lt;0,G139/100,-1)))</f>
        <v/>
      </c>
      <c r="I139" s="11" t="inlineStr">
        <is>
          <t>L</t>
        </is>
      </c>
      <c r="J139" s="10" t="inlineStr">
        <is>
          <t>NYI 3, WSH 1</t>
        </is>
      </c>
      <c r="K139" s="10" t="inlineStr">
        <is>
          <t>ESPN BET closing</t>
        </is>
      </c>
    </row>
    <row r="140">
      <c r="A140" s="9" t="n">
        <v>45961</v>
      </c>
      <c r="B140" s="10" t="inlineStr">
        <is>
          <t>DET @ ANA</t>
        </is>
      </c>
      <c r="C140" s="13" t="n">
        <v>66.02</v>
      </c>
      <c r="D140" s="13" t="n">
        <v>63.35</v>
      </c>
      <c r="E140" s="13">
        <f>IF(OR(C140="",D140=""),"",ABS(C140-D140))</f>
        <v/>
      </c>
      <c r="F140" s="11" t="inlineStr">
        <is>
          <t>DET</t>
        </is>
      </c>
      <c r="G140" s="12" t="n">
        <v>110</v>
      </c>
      <c r="H140" s="14">
        <f>IF(OR(F140="",G140="",AND(I140&lt;&gt;"W",I140&lt;&gt;"L")),"",IF(I140="W",IF(G140&gt;0,G140/100,1),IF(G140&lt;0,G140/100,-1)))</f>
        <v/>
      </c>
      <c r="I140" s="11" t="inlineStr">
        <is>
          <t>L</t>
        </is>
      </c>
      <c r="J140" s="10" t="inlineStr">
        <is>
          <t>DET 2, ANA 5</t>
        </is>
      </c>
      <c r="K140" s="10" t="inlineStr">
        <is>
          <t>ESPN BET closing</t>
        </is>
      </c>
    </row>
    <row r="141">
      <c r="A141" s="9" t="n">
        <v>45962</v>
      </c>
      <c r="B141" s="10" t="inlineStr">
        <is>
          <t>CAR @ BOS</t>
        </is>
      </c>
      <c r="C141" s="13" t="n">
        <v>93.66</v>
      </c>
      <c r="D141" s="13" t="n">
        <v>66.48</v>
      </c>
      <c r="E141" s="13">
        <f>IF(OR(C141="",D141=""),"",ABS(C141-D141))</f>
        <v/>
      </c>
      <c r="F141" s="11" t="inlineStr">
        <is>
          <t>CAR</t>
        </is>
      </c>
      <c r="G141" s="12" t="n">
        <v>-200</v>
      </c>
      <c r="H141" s="14">
        <f>IF(OR(F141="",G141="",AND(I141&lt;&gt;"W",I141&lt;&gt;"L")),"",IF(I141="W",IF(G141&gt;0,G141/100,1),IF(G141&lt;0,G141/100,-1)))</f>
        <v/>
      </c>
      <c r="I141" s="11" t="inlineStr">
        <is>
          <t>L</t>
        </is>
      </c>
      <c r="J141" s="10" t="inlineStr">
        <is>
          <t>CAR 1, BOS 2</t>
        </is>
      </c>
      <c r="K141" s="10" t="inlineStr">
        <is>
          <t>ESPN BET closing</t>
        </is>
      </c>
    </row>
    <row r="142">
      <c r="A142" s="9" t="n">
        <v>45962</v>
      </c>
      <c r="B142" s="10" t="inlineStr">
        <is>
          <t>PIT @ WPG</t>
        </is>
      </c>
      <c r="C142" s="13" t="n">
        <v>76.17</v>
      </c>
      <c r="D142" s="13" t="n">
        <v>79.93000000000001</v>
      </c>
      <c r="E142" s="13">
        <f>IF(OR(C142="",D142=""),"",ABS(C142-D142))</f>
        <v/>
      </c>
      <c r="F142" s="11" t="inlineStr">
        <is>
          <t>WPG</t>
        </is>
      </c>
      <c r="G142" s="12" t="n">
        <v>-165</v>
      </c>
      <c r="H142" s="14">
        <f>IF(OR(F142="",G142="",AND(I142&lt;&gt;"W",I142&lt;&gt;"L")),"",IF(I142="W",IF(G142&gt;0,G142/100,1),IF(G142&lt;0,G142/100,-1)))</f>
        <v/>
      </c>
      <c r="I142" s="11" t="inlineStr">
        <is>
          <t>W</t>
        </is>
      </c>
      <c r="J142" s="10" t="inlineStr">
        <is>
          <t>PIT 2, WPG 5</t>
        </is>
      </c>
      <c r="K142" s="10" t="inlineStr">
        <is>
          <t>ESPN BET closing</t>
        </is>
      </c>
    </row>
    <row r="143">
      <c r="A143" s="9" t="n">
        <v>45962</v>
      </c>
      <c r="B143" s="10" t="inlineStr">
        <is>
          <t>CGY @ NSH</t>
        </is>
      </c>
      <c r="C143" s="13" t="n">
        <v>70.34999999999999</v>
      </c>
      <c r="D143" s="13" t="n">
        <v>71.95999999999999</v>
      </c>
      <c r="E143" s="13">
        <f>IF(OR(C143="",D143=""),"",ABS(C143-D143))</f>
        <v/>
      </c>
      <c r="F143" s="11" t="inlineStr">
        <is>
          <t>NSH</t>
        </is>
      </c>
      <c r="G143" s="12" t="n">
        <v>-115</v>
      </c>
      <c r="H143" s="14">
        <f>IF(OR(F143="",G143="",AND(I143&lt;&gt;"W",I143&lt;&gt;"L")),"",IF(I143="W",IF(G143&gt;0,G143/100,1),IF(G143&lt;0,G143/100,-1)))</f>
        <v/>
      </c>
      <c r="I143" s="11" t="inlineStr">
        <is>
          <t>W</t>
        </is>
      </c>
      <c r="J143" s="10" t="inlineStr">
        <is>
          <t>CGY 2, NSH 4</t>
        </is>
      </c>
      <c r="K143" s="10" t="inlineStr">
        <is>
          <t>ESPN BET closing</t>
        </is>
      </c>
    </row>
    <row r="144">
      <c r="A144" s="9" t="n">
        <v>45962</v>
      </c>
      <c r="B144" s="10" t="inlineStr">
        <is>
          <t>COL @ SJS</t>
        </is>
      </c>
      <c r="C144" s="13" t="n">
        <v>75.94</v>
      </c>
      <c r="D144" s="13" t="n">
        <v>77.48999999999999</v>
      </c>
      <c r="E144" s="13">
        <f>IF(OR(C144="",D144=""),"",ABS(C144-D144))</f>
        <v/>
      </c>
      <c r="F144" s="11" t="inlineStr">
        <is>
          <t>SJS</t>
        </is>
      </c>
      <c r="G144" s="12" t="n">
        <v>200</v>
      </c>
      <c r="H144" s="14">
        <f>IF(OR(F144="",G144="",AND(I144&lt;&gt;"W",I144&lt;&gt;"L")),"",IF(I144="W",IF(G144&gt;0,G144/100,1),IF(G144&lt;0,G144/100,-1)))</f>
        <v/>
      </c>
      <c r="I144" s="11" t="inlineStr">
        <is>
          <t>W</t>
        </is>
      </c>
      <c r="J144" s="10" t="inlineStr">
        <is>
          <t>COL 2, SJS 3</t>
        </is>
      </c>
      <c r="K144" s="10" t="inlineStr">
        <is>
          <t>ESPN BET closing</t>
        </is>
      </c>
    </row>
    <row r="145">
      <c r="A145" s="9" t="n">
        <v>45962</v>
      </c>
      <c r="B145" s="10" t="inlineStr">
        <is>
          <t>DAL @ FLA</t>
        </is>
      </c>
      <c r="C145" s="13" t="n">
        <v>57.89</v>
      </c>
      <c r="D145" s="13" t="n">
        <v>76.65000000000001</v>
      </c>
      <c r="E145" s="13">
        <f>IF(OR(C145="",D145=""),"",ABS(C145-D145))</f>
        <v/>
      </c>
      <c r="F145" s="11" t="inlineStr">
        <is>
          <t>FLA</t>
        </is>
      </c>
      <c r="G145" s="12" t="n">
        <v>-140</v>
      </c>
      <c r="H145" s="14">
        <f>IF(OR(F145="",G145="",AND(I145&lt;&gt;"W",I145&lt;&gt;"L")),"",IF(I145="W",IF(G145&gt;0,G145/100,1),IF(G145&lt;0,G145/100,-1)))</f>
        <v/>
      </c>
      <c r="I145" s="11" t="inlineStr">
        <is>
          <t>W</t>
        </is>
      </c>
      <c r="J145" s="10" t="inlineStr">
        <is>
          <t>DAL 3, FLA 4</t>
        </is>
      </c>
      <c r="K145" s="10" t="inlineStr">
        <is>
          <t>ESPN BET closing</t>
        </is>
      </c>
    </row>
    <row r="146">
      <c r="A146" s="9" t="n">
        <v>45962</v>
      </c>
      <c r="B146" s="10" t="inlineStr">
        <is>
          <t>WSH @ BUF</t>
        </is>
      </c>
      <c r="C146" s="13" t="n">
        <v>68.08</v>
      </c>
      <c r="D146" s="13" t="n">
        <v>73.52</v>
      </c>
      <c r="E146" s="13">
        <f>IF(OR(C146="",D146=""),"",ABS(C146-D146))</f>
        <v/>
      </c>
      <c r="F146" s="11" t="inlineStr">
        <is>
          <t>BUF</t>
        </is>
      </c>
      <c r="G146" s="12" t="n">
        <v>-130</v>
      </c>
      <c r="H146" s="14">
        <f>IF(OR(F146="",G146="",AND(I146&lt;&gt;"W",I146&lt;&gt;"L")),"",IF(I146="W",IF(G146&gt;0,G146/100,1),IF(G146&lt;0,G146/100,-1)))</f>
        <v/>
      </c>
      <c r="I146" s="11" t="inlineStr">
        <is>
          <t>W</t>
        </is>
      </c>
      <c r="J146" s="10" t="inlineStr">
        <is>
          <t>WSH 3, BUF 4</t>
        </is>
      </c>
      <c r="K146" s="10" t="inlineStr">
        <is>
          <t>ESPN BET closing</t>
        </is>
      </c>
    </row>
    <row r="147">
      <c r="A147" s="9" t="n">
        <v>45962</v>
      </c>
      <c r="B147" s="10" t="inlineStr">
        <is>
          <t>OTT @ MTL</t>
        </is>
      </c>
      <c r="C147" s="13" t="n">
        <v>69.65000000000001</v>
      </c>
      <c r="D147" s="13" t="n">
        <v>76.67</v>
      </c>
      <c r="E147" s="13">
        <f>IF(OR(C147="",D147=""),"",ABS(C147-D147))</f>
        <v/>
      </c>
      <c r="F147" s="11" t="inlineStr">
        <is>
          <t>MTL</t>
        </is>
      </c>
      <c r="G147" s="12" t="n">
        <v>-110</v>
      </c>
      <c r="H147" s="14">
        <f>IF(OR(F147="",G147="",AND(I147&lt;&gt;"W",I147&lt;&gt;"L")),"",IF(I147="W",IF(G147&gt;0,G147/100,1),IF(G147&lt;0,G147/100,-1)))</f>
        <v/>
      </c>
      <c r="I147" s="11" t="inlineStr">
        <is>
          <t>W</t>
        </is>
      </c>
      <c r="J147" s="10" t="inlineStr">
        <is>
          <t>OTT 3, MTL 4</t>
        </is>
      </c>
      <c r="K147" s="10" t="inlineStr">
        <is>
          <t>ESPN BET closing</t>
        </is>
      </c>
    </row>
    <row r="148">
      <c r="A148" s="9" t="n">
        <v>45962</v>
      </c>
      <c r="B148" s="10" t="inlineStr">
        <is>
          <t>TOR @ PHI</t>
        </is>
      </c>
      <c r="C148" s="13" t="n">
        <v>65.8</v>
      </c>
      <c r="D148" s="13" t="n">
        <v>68.04000000000001</v>
      </c>
      <c r="E148" s="13">
        <f>IF(OR(C148="",D148=""),"",ABS(C148-D148))</f>
        <v/>
      </c>
      <c r="F148" s="11" t="inlineStr">
        <is>
          <t>PHI</t>
        </is>
      </c>
      <c r="G148" s="12" t="n">
        <v>100</v>
      </c>
      <c r="H148" s="14">
        <f>IF(OR(F148="",G148="",AND(I148&lt;&gt;"W",I148&lt;&gt;"L")),"",IF(I148="W",IF(G148&gt;0,G148/100,1),IF(G148&lt;0,G148/100,-1)))</f>
        <v/>
      </c>
      <c r="I148" s="11" t="inlineStr">
        <is>
          <t>L</t>
        </is>
      </c>
      <c r="J148" s="10" t="inlineStr">
        <is>
          <t>TOR 5, PHI 2</t>
        </is>
      </c>
      <c r="K148" s="10" t="inlineStr">
        <is>
          <t>ESPN BET closing</t>
        </is>
      </c>
    </row>
    <row r="149">
      <c r="A149" s="9" t="n">
        <v>45962</v>
      </c>
      <c r="B149" s="10" t="inlineStr">
        <is>
          <t>STL @ CBJ</t>
        </is>
      </c>
      <c r="C149" s="13" t="n">
        <v>74.62</v>
      </c>
      <c r="D149" s="13" t="n">
        <v>74.2</v>
      </c>
      <c r="E149" s="13">
        <f>IF(OR(C149="",D149=""),"",ABS(C149-D149))</f>
        <v/>
      </c>
      <c r="F149" s="11" t="inlineStr">
        <is>
          <t>STL</t>
        </is>
      </c>
      <c r="G149" s="12" t="n">
        <v>120</v>
      </c>
      <c r="H149" s="14">
        <f>IF(OR(F149="",G149="",AND(I149&lt;&gt;"W",I149&lt;&gt;"L")),"",IF(I149="W",IF(G149&gt;0,G149/100,1),IF(G149&lt;0,G149/100,-1)))</f>
        <v/>
      </c>
      <c r="I149" s="11" t="inlineStr">
        <is>
          <t>L</t>
        </is>
      </c>
      <c r="J149" s="10" t="inlineStr">
        <is>
          <t>STL 2, CBJ 3</t>
        </is>
      </c>
      <c r="K149" s="10" t="inlineStr">
        <is>
          <t>ESPN BET closing</t>
        </is>
      </c>
    </row>
    <row r="150">
      <c r="A150" s="9" t="n">
        <v>45962</v>
      </c>
      <c r="B150" s="10" t="inlineStr">
        <is>
          <t>VAN @ MIN</t>
        </is>
      </c>
      <c r="C150" s="13" t="n">
        <v>65.38</v>
      </c>
      <c r="D150" s="13" t="n">
        <v>63.83</v>
      </c>
      <c r="E150" s="13">
        <f>IF(OR(C150="",D150=""),"",ABS(C150-D150))</f>
        <v/>
      </c>
      <c r="F150" s="11" t="inlineStr">
        <is>
          <t>VAN</t>
        </is>
      </c>
      <c r="G150" s="12" t="n">
        <v>150</v>
      </c>
      <c r="H150" s="14">
        <f>IF(OR(F150="",G150="",AND(I150&lt;&gt;"W",I150&lt;&gt;"L")),"",IF(I150="W",IF(G150&gt;0,G150/100,1),IF(G150&lt;0,G150/100,-1)))</f>
        <v/>
      </c>
      <c r="I150" s="11" t="inlineStr">
        <is>
          <t>L</t>
        </is>
      </c>
      <c r="J150" s="10" t="inlineStr">
        <is>
          <t>VAN 2, MIN 5</t>
        </is>
      </c>
      <c r="K150" s="10" t="inlineStr">
        <is>
          <t>ESPN BET closing</t>
        </is>
      </c>
    </row>
    <row r="151">
      <c r="A151" s="9" t="n">
        <v>45962</v>
      </c>
      <c r="B151" s="10" t="inlineStr">
        <is>
          <t>NJD @ LAK</t>
        </is>
      </c>
      <c r="C151" s="13" t="n">
        <v>62.51</v>
      </c>
      <c r="D151" s="13" t="n">
        <v>73.98</v>
      </c>
      <c r="E151" s="13">
        <f>IF(OR(C151="",D151=""),"",ABS(C151-D151))</f>
        <v/>
      </c>
      <c r="F151" s="11" t="inlineStr">
        <is>
          <t>LAK</t>
        </is>
      </c>
      <c r="G151" s="12" t="n">
        <v>-120</v>
      </c>
      <c r="H151" s="14">
        <f>IF(OR(F151="",G151="",AND(I151&lt;&gt;"W",I151&lt;&gt;"L")),"",IF(I151="W",IF(G151&gt;0,G151/100,1),IF(G151&lt;0,G151/100,-1)))</f>
        <v/>
      </c>
      <c r="I151" s="11" t="inlineStr">
        <is>
          <t>L</t>
        </is>
      </c>
      <c r="J151" s="10" t="inlineStr">
        <is>
          <t>NJD 4, LAK 1</t>
        </is>
      </c>
      <c r="K151" s="10" t="inlineStr">
        <is>
          <t>ESPN BET closing</t>
        </is>
      </c>
    </row>
    <row r="152">
      <c r="A152" s="9" t="n">
        <v>45962</v>
      </c>
      <c r="B152" s="10" t="inlineStr">
        <is>
          <t>CHI @ EDM</t>
        </is>
      </c>
      <c r="C152" s="13" t="n">
        <v>60.07</v>
      </c>
      <c r="D152" s="13" t="n">
        <v>64.3</v>
      </c>
      <c r="E152" s="13">
        <f>IF(OR(C152="",D152=""),"",ABS(C152-D152))</f>
        <v/>
      </c>
      <c r="F152" s="11" t="inlineStr">
        <is>
          <t>EDM</t>
        </is>
      </c>
      <c r="G152" s="12" t="n">
        <v>-300</v>
      </c>
      <c r="H152" s="14">
        <f>IF(OR(F152="",G152="",AND(I152&lt;&gt;"W",I152&lt;&gt;"L")),"",IF(I152="W",IF(G152&gt;0,G152/100,1),IF(G152&lt;0,G152/100,-1)))</f>
        <v/>
      </c>
      <c r="I152" s="11" t="inlineStr">
        <is>
          <t>W</t>
        </is>
      </c>
      <c r="J152" s="10" t="inlineStr">
        <is>
          <t>CHI 2, EDM 3</t>
        </is>
      </c>
      <c r="K152" s="10" t="inlineStr">
        <is>
          <t>ESPN BET closing</t>
        </is>
      </c>
    </row>
    <row r="153">
      <c r="A153" s="9" t="n">
        <v>45962</v>
      </c>
      <c r="B153" s="10" t="inlineStr">
        <is>
          <t>NYR @ SEA</t>
        </is>
      </c>
      <c r="C153" s="13" t="n">
        <v>75.7</v>
      </c>
      <c r="D153" s="13" t="n">
        <v>63.33</v>
      </c>
      <c r="E153" s="13">
        <f>IF(OR(C153="",D153=""),"",ABS(C153-D153))</f>
        <v/>
      </c>
      <c r="F153" s="11" t="inlineStr">
        <is>
          <t>NYR</t>
        </is>
      </c>
      <c r="G153" s="12" t="n">
        <v>-135</v>
      </c>
      <c r="H153" s="14">
        <f>IF(OR(F153="",G153="",AND(I153&lt;&gt;"W",I153&lt;&gt;"L")),"",IF(I153="W",IF(G153&gt;0,G153/100,1),IF(G153&lt;0,G153/100,-1)))</f>
        <v/>
      </c>
      <c r="I153" s="11" t="inlineStr">
        <is>
          <t>W</t>
        </is>
      </c>
      <c r="J153" s="10" t="inlineStr">
        <is>
          <t>NYR 3, SEA 2</t>
        </is>
      </c>
      <c r="K153" s="10" t="inlineStr">
        <is>
          <t>ESPN BET closing</t>
        </is>
      </c>
    </row>
    <row r="154">
      <c r="A154" s="9" t="n">
        <v>45963</v>
      </c>
      <c r="B154" s="10" t="inlineStr">
        <is>
          <t>TBL @ UTA</t>
        </is>
      </c>
      <c r="C154" s="13" t="n">
        <v>82.11</v>
      </c>
      <c r="D154" s="13" t="n">
        <v>65.14</v>
      </c>
      <c r="E154" s="13">
        <f>IF(OR(C154="",D154=""),"",ABS(C154-D154))</f>
        <v/>
      </c>
      <c r="F154" s="11" t="inlineStr">
        <is>
          <t>TBL</t>
        </is>
      </c>
      <c r="G154" s="12" t="n">
        <v>-105</v>
      </c>
      <c r="H154" s="14">
        <f>IF(OR(F154="",G154="",AND(I154&lt;&gt;"W",I154&lt;&gt;"L")),"",IF(I154="W",IF(G154&gt;0,G154/100,1),IF(G154&lt;0,G154/100,-1)))</f>
        <v/>
      </c>
      <c r="I154" s="11" t="inlineStr">
        <is>
          <t>W</t>
        </is>
      </c>
      <c r="J154" s="10" t="inlineStr">
        <is>
          <t>TBL 4, UTA 2</t>
        </is>
      </c>
      <c r="K154" s="10" t="inlineStr">
        <is>
          <t>ESPN BET closing</t>
        </is>
      </c>
    </row>
    <row r="155">
      <c r="A155" s="9" t="n">
        <v>45963</v>
      </c>
      <c r="B155" s="10" t="inlineStr">
        <is>
          <t>CBJ @ NYI</t>
        </is>
      </c>
      <c r="C155" s="13" t="n">
        <v>71.61</v>
      </c>
      <c r="D155" s="13" t="n">
        <v>71.92</v>
      </c>
      <c r="E155" s="13">
        <f>IF(OR(C155="",D155=""),"",ABS(C155-D155))</f>
        <v/>
      </c>
      <c r="F155" s="11" t="inlineStr">
        <is>
          <t>NYI</t>
        </is>
      </c>
      <c r="G155" s="12" t="n">
        <v>-125</v>
      </c>
      <c r="H155" s="14">
        <f>IF(OR(F155="",G155="",AND(I155&lt;&gt;"W",I155&lt;&gt;"L")),"",IF(I155="W",IF(G155&gt;0,G155/100,1),IF(G155&lt;0,G155/100,-1)))</f>
        <v/>
      </c>
      <c r="I155" s="11" t="inlineStr">
        <is>
          <t>W</t>
        </is>
      </c>
      <c r="J155" s="10" t="inlineStr">
        <is>
          <t>CBJ 2, NYI 3</t>
        </is>
      </c>
      <c r="K155" s="10" t="inlineStr">
        <is>
          <t>ESPN BET closing</t>
        </is>
      </c>
    </row>
    <row r="156">
      <c r="A156" s="9" t="n">
        <v>45963</v>
      </c>
      <c r="B156" s="10" t="inlineStr">
        <is>
          <t>CGY @ PHI</t>
        </is>
      </c>
      <c r="C156" s="13" t="n">
        <v>72.56999999999999</v>
      </c>
      <c r="D156" s="13" t="n">
        <v>65.12</v>
      </c>
      <c r="E156" s="13">
        <f>IF(OR(C156="",D156=""),"",ABS(C156-D156))</f>
        <v/>
      </c>
      <c r="F156" s="11" t="inlineStr">
        <is>
          <t>CGY</t>
        </is>
      </c>
      <c r="G156" s="12" t="n">
        <v>100</v>
      </c>
      <c r="H156" s="14">
        <f>IF(OR(F156="",G156="",AND(I156&lt;&gt;"W",I156&lt;&gt;"L")),"",IF(I156="W",IF(G156&gt;0,G156/100,1),IF(G156&lt;0,G156/100,-1)))</f>
        <v/>
      </c>
      <c r="I156" s="11" t="inlineStr">
        <is>
          <t>W</t>
        </is>
      </c>
      <c r="J156" s="10" t="inlineStr">
        <is>
          <t>CGY 2, PHI 1</t>
        </is>
      </c>
      <c r="K156" s="10" t="inlineStr">
        <is>
          <t>ESPN BET closing</t>
        </is>
      </c>
    </row>
    <row r="157">
      <c r="A157" s="9" t="n">
        <v>45963</v>
      </c>
      <c r="B157" s="10" t="inlineStr">
        <is>
          <t>NJD @ ANA</t>
        </is>
      </c>
      <c r="C157" s="13" t="n">
        <v>65.06</v>
      </c>
      <c r="D157" s="13" t="n">
        <v>76.06999999999999</v>
      </c>
      <c r="E157" s="13">
        <f>IF(OR(C157="",D157=""),"",ABS(C157-D157))</f>
        <v/>
      </c>
      <c r="F157" s="11" t="inlineStr">
        <is>
          <t>ANA</t>
        </is>
      </c>
      <c r="G157" s="12" t="n">
        <v>-105</v>
      </c>
      <c r="H157" s="14">
        <f>IF(OR(F157="",G157="",AND(I157&lt;&gt;"W",I157&lt;&gt;"L")),"",IF(I157="W",IF(G157&gt;0,G157/100,1),IF(G157&lt;0,G157/100,-1)))</f>
        <v/>
      </c>
      <c r="I157" s="11" t="inlineStr">
        <is>
          <t>W</t>
        </is>
      </c>
      <c r="J157" s="10" t="inlineStr">
        <is>
          <t>NJD 1, ANA 4</t>
        </is>
      </c>
      <c r="K157" s="10" t="inlineStr">
        <is>
          <t>ESPN BET closing</t>
        </is>
      </c>
    </row>
    <row r="158">
      <c r="A158" s="9" t="n">
        <v>45963</v>
      </c>
      <c r="B158" s="10" t="inlineStr">
        <is>
          <t>DET @ SJS</t>
        </is>
      </c>
      <c r="C158" s="13" t="n">
        <v>63.93</v>
      </c>
      <c r="D158" s="13" t="n">
        <v>59.46</v>
      </c>
      <c r="E158" s="13">
        <f>IF(OR(C158="",D158=""),"",ABS(C158-D158))</f>
        <v/>
      </c>
      <c r="F158" s="11" t="inlineStr">
        <is>
          <t>DET</t>
        </is>
      </c>
      <c r="G158" s="12" t="n">
        <v>-195</v>
      </c>
      <c r="H158" s="14">
        <f>IF(OR(F158="",G158="",AND(I158&lt;&gt;"W",I158&lt;&gt;"L")),"",IF(I158="W",IF(G158&gt;0,G158/100,1),IF(G158&lt;0,G158/100,-1)))</f>
        <v/>
      </c>
      <c r="I158" s="11" t="inlineStr">
        <is>
          <t>W</t>
        </is>
      </c>
      <c r="J158" s="10" t="inlineStr">
        <is>
          <t>DET 3, SJS 2</t>
        </is>
      </c>
      <c r="K158" s="10" t="inlineStr">
        <is>
          <t>ESPN BET closing</t>
        </is>
      </c>
    </row>
    <row r="159">
      <c r="A159" s="9" t="n">
        <v>45964</v>
      </c>
      <c r="B159" s="10" t="inlineStr">
        <is>
          <t>PIT @ TOR</t>
        </is>
      </c>
      <c r="C159" s="13" t="n">
        <v>61.29</v>
      </c>
      <c r="D159" s="13" t="n">
        <v>74.88</v>
      </c>
      <c r="E159" s="13">
        <f>IF(OR(C159="",D159=""),"",ABS(C159-D159))</f>
        <v/>
      </c>
      <c r="F159" s="11" t="inlineStr">
        <is>
          <t>TOR</t>
        </is>
      </c>
      <c r="G159" s="12" t="n">
        <v>-175</v>
      </c>
      <c r="H159" s="14">
        <f>IF(OR(F159="",G159="",AND(I159&lt;&gt;"W",I159&lt;&gt;"L")),"",IF(I159="W",IF(G159&gt;0,G159/100,1),IF(G159&lt;0,G159/100,-1)))</f>
        <v/>
      </c>
      <c r="I159" s="11" t="inlineStr">
        <is>
          <t>W</t>
        </is>
      </c>
      <c r="J159" s="10" t="inlineStr">
        <is>
          <t>PIT 3, TOR 4</t>
        </is>
      </c>
      <c r="K159" s="10" t="inlineStr">
        <is>
          <t>ESPN BET closing</t>
        </is>
      </c>
    </row>
    <row r="160">
      <c r="A160" s="9" t="n">
        <v>45964</v>
      </c>
      <c r="B160" s="10" t="inlineStr">
        <is>
          <t>EDM @ STL</t>
        </is>
      </c>
      <c r="C160" s="13" t="n">
        <v>73.23999999999999</v>
      </c>
      <c r="D160" s="13" t="n">
        <v>68.39</v>
      </c>
      <c r="E160" s="13">
        <f>IF(OR(C160="",D160=""),"",ABS(C160-D160))</f>
        <v/>
      </c>
      <c r="F160" s="11" t="inlineStr">
        <is>
          <t>EDM</t>
        </is>
      </c>
      <c r="G160" s="12" t="n">
        <v>-125</v>
      </c>
      <c r="H160" s="14">
        <f>IF(OR(F160="",G160="",AND(I160&lt;&gt;"W",I160&lt;&gt;"L")),"",IF(I160="W",IF(G160&gt;0,G160/100,1),IF(G160&lt;0,G160/100,-1)))</f>
        <v/>
      </c>
      <c r="I160" s="11" t="inlineStr">
        <is>
          <t>L</t>
        </is>
      </c>
      <c r="J160" s="10" t="inlineStr">
        <is>
          <t>EDM 2, STL 3</t>
        </is>
      </c>
      <c r="K160" s="10" t="inlineStr">
        <is>
          <t>ESPN BET closing</t>
        </is>
      </c>
    </row>
    <row r="161">
      <c r="A161" s="9" t="n">
        <v>45964</v>
      </c>
      <c r="B161" s="10" t="inlineStr">
        <is>
          <t>VAN @ NSH</t>
        </is>
      </c>
      <c r="C161" s="13" t="n">
        <v>62.45</v>
      </c>
      <c r="D161" s="13" t="n">
        <v>67.43000000000001</v>
      </c>
      <c r="E161" s="13">
        <f>IF(OR(C161="",D161=""),"",ABS(C161-D161))</f>
        <v/>
      </c>
      <c r="F161" s="11" t="inlineStr">
        <is>
          <t>NSH</t>
        </is>
      </c>
      <c r="G161" s="12" t="n">
        <v>-110</v>
      </c>
      <c r="H161" s="14">
        <f>IF(OR(F161="",G161="",AND(I161&lt;&gt;"W",I161&lt;&gt;"L")),"",IF(I161="W",IF(G161&gt;0,G161/100,1),IF(G161&lt;0,G161/100,-1)))</f>
        <v/>
      </c>
      <c r="I161" s="11" t="inlineStr">
        <is>
          <t>L</t>
        </is>
      </c>
      <c r="J161" s="10" t="inlineStr">
        <is>
          <t>VAN 5, NSH 4</t>
        </is>
      </c>
      <c r="K161" s="10" t="inlineStr">
        <is>
          <t>ESPN BET closing</t>
        </is>
      </c>
    </row>
    <row r="162">
      <c r="A162" s="9" t="n">
        <v>45964</v>
      </c>
      <c r="B162" s="10" t="inlineStr">
        <is>
          <t>CHI @ SEA</t>
        </is>
      </c>
      <c r="C162" s="13" t="n">
        <v>66.76000000000001</v>
      </c>
      <c r="D162" s="13" t="n">
        <v>58.7</v>
      </c>
      <c r="E162" s="13">
        <f>IF(OR(C162="",D162=""),"",ABS(C162-D162))</f>
        <v/>
      </c>
      <c r="F162" s="11" t="inlineStr">
        <is>
          <t>CHI</t>
        </is>
      </c>
      <c r="G162" s="12" t="n">
        <v>135</v>
      </c>
      <c r="H162" s="14">
        <f>IF(OR(F162="",G162="",AND(I162&lt;&gt;"W",I162&lt;&gt;"L")),"",IF(I162="W",IF(G162&gt;0,G162/100,1),IF(G162&lt;0,G162/100,-1)))</f>
        <v/>
      </c>
      <c r="I162" s="11" t="inlineStr">
        <is>
          <t>L</t>
        </is>
      </c>
      <c r="J162" s="10" t="inlineStr">
        <is>
          <t>CHI 1, SEA 3</t>
        </is>
      </c>
      <c r="K162" s="10" t="inlineStr">
        <is>
          <t>ESPN BET closing</t>
        </is>
      </c>
    </row>
    <row r="163">
      <c r="A163" s="9" t="n">
        <v>45965</v>
      </c>
      <c r="B163" s="10" t="inlineStr">
        <is>
          <t>UTA @ BUF</t>
        </is>
      </c>
      <c r="C163" s="13" t="n">
        <v>67.44</v>
      </c>
      <c r="D163" s="13" t="n">
        <v>66.5</v>
      </c>
      <c r="E163" s="13">
        <f>IF(OR(C163="",D163=""),"",ABS(C163-D163))</f>
        <v/>
      </c>
      <c r="F163" s="11" t="inlineStr">
        <is>
          <t>UTA</t>
        </is>
      </c>
      <c r="G163" s="12" t="n">
        <v>-135</v>
      </c>
      <c r="H163" s="14">
        <f>IF(OR(F163="",G163="",AND(I163&lt;&gt;"W",I163&lt;&gt;"L")),"",IF(I163="W",IF(G163&gt;0,G163/100,1),IF(G163&lt;0,G163/100,-1)))</f>
        <v/>
      </c>
      <c r="I163" s="11" t="inlineStr">
        <is>
          <t>W</t>
        </is>
      </c>
      <c r="J163" s="10" t="inlineStr">
        <is>
          <t>UTA 2, BUF 1</t>
        </is>
      </c>
      <c r="K163" s="10" t="inlineStr">
        <is>
          <t>ESPN BET closing</t>
        </is>
      </c>
    </row>
    <row r="164">
      <c r="A164" s="9" t="n">
        <v>45965</v>
      </c>
      <c r="B164" s="10" t="inlineStr">
        <is>
          <t>PHI @ MTL</t>
        </is>
      </c>
      <c r="C164" s="13" t="n">
        <v>67.3</v>
      </c>
      <c r="D164" s="13" t="n">
        <v>76.53</v>
      </c>
      <c r="E164" s="13">
        <f>IF(OR(C164="",D164=""),"",ABS(C164-D164))</f>
        <v/>
      </c>
      <c r="F164" s="11" t="inlineStr">
        <is>
          <t>MTL</t>
        </is>
      </c>
      <c r="G164" s="12" t="n">
        <v>-150</v>
      </c>
      <c r="H164" s="14">
        <f>IF(OR(F164="",G164="",AND(I164&lt;&gt;"W",I164&lt;&gt;"L")),"",IF(I164="W",IF(G164&gt;0,G164/100,1),IF(G164&lt;0,G164/100,-1)))</f>
        <v/>
      </c>
      <c r="I164" s="11" t="inlineStr">
        <is>
          <t>L</t>
        </is>
      </c>
      <c r="J164" s="10" t="inlineStr">
        <is>
          <t>PHI 5, MTL 4</t>
        </is>
      </c>
      <c r="K164" s="10" t="inlineStr">
        <is>
          <t>ESPN BET closing</t>
        </is>
      </c>
    </row>
    <row r="165">
      <c r="A165" s="9" t="n">
        <v>45965</v>
      </c>
      <c r="B165" s="10" t="inlineStr">
        <is>
          <t>BOS @ NYI</t>
        </is>
      </c>
      <c r="C165" s="13" t="n">
        <v>72.13</v>
      </c>
      <c r="D165" s="13" t="n">
        <v>82.62</v>
      </c>
      <c r="E165" s="13">
        <f>IF(OR(C165="",D165=""),"",ABS(C165-D165))</f>
        <v/>
      </c>
      <c r="F165" s="11" t="inlineStr">
        <is>
          <t>NYI</t>
        </is>
      </c>
      <c r="G165" s="12" t="n">
        <v>-165</v>
      </c>
      <c r="H165" s="14">
        <f>IF(OR(F165="",G165="",AND(I165&lt;&gt;"W",I165&lt;&gt;"L")),"",IF(I165="W",IF(G165&gt;0,G165/100,1),IF(G165&lt;0,G165/100,-1)))</f>
        <v/>
      </c>
      <c r="I165" s="11" t="inlineStr">
        <is>
          <t>L</t>
        </is>
      </c>
      <c r="J165" s="10" t="inlineStr">
        <is>
          <t>BOS 4, NYI 3</t>
        </is>
      </c>
      <c r="K165" s="10" t="inlineStr">
        <is>
          <t>ESPN BET closing</t>
        </is>
      </c>
    </row>
    <row r="166">
      <c r="A166" s="9" t="n">
        <v>45965</v>
      </c>
      <c r="B166" s="10" t="inlineStr">
        <is>
          <t>CAR @ NYR</t>
        </is>
      </c>
      <c r="C166" s="13" t="n">
        <v>67.87</v>
      </c>
      <c r="D166" s="13" t="n">
        <v>81.3</v>
      </c>
      <c r="E166" s="13">
        <f>IF(OR(C166="",D166=""),"",ABS(C166-D166))</f>
        <v/>
      </c>
      <c r="F166" s="11" t="inlineStr">
        <is>
          <t>NYR</t>
        </is>
      </c>
      <c r="G166" s="12" t="n">
        <v>-105</v>
      </c>
      <c r="H166" s="14">
        <f>IF(OR(F166="",G166="",AND(I166&lt;&gt;"W",I166&lt;&gt;"L")),"",IF(I166="W",IF(G166&gt;0,G166/100,1),IF(G166&lt;0,G166/100,-1)))</f>
        <v/>
      </c>
      <c r="I166" s="11" t="inlineStr">
        <is>
          <t>L</t>
        </is>
      </c>
      <c r="J166" s="10" t="inlineStr">
        <is>
          <t>CAR 3, NYR 0</t>
        </is>
      </c>
      <c r="K166" s="10" t="inlineStr">
        <is>
          <t>ESPN BET closing</t>
        </is>
      </c>
    </row>
    <row r="167">
      <c r="A167" s="9" t="n">
        <v>45965</v>
      </c>
      <c r="B167" s="10" t="inlineStr">
        <is>
          <t>EDM @ DAL</t>
        </is>
      </c>
      <c r="C167" s="13" t="n">
        <v>73.55</v>
      </c>
      <c r="D167" s="13" t="n">
        <v>60.05</v>
      </c>
      <c r="E167" s="13">
        <f>IF(OR(C167="",D167=""),"",ABS(C167-D167))</f>
        <v/>
      </c>
      <c r="F167" s="11" t="inlineStr">
        <is>
          <t>EDM</t>
        </is>
      </c>
      <c r="G167" s="12" t="n">
        <v>105</v>
      </c>
      <c r="H167" s="14">
        <f>IF(OR(F167="",G167="",AND(I167&lt;&gt;"W",I167&lt;&gt;"L")),"",IF(I167="W",IF(G167&gt;0,G167/100,1),IF(G167&lt;0,G167/100,-1)))</f>
        <v/>
      </c>
      <c r="I167" s="11" t="inlineStr">
        <is>
          <t>L</t>
        </is>
      </c>
      <c r="J167" s="10" t="inlineStr">
        <is>
          <t>EDM 3, DAL 4</t>
        </is>
      </c>
      <c r="K167" s="10" t="inlineStr">
        <is>
          <t>ESPN BET closing</t>
        </is>
      </c>
    </row>
    <row r="168">
      <c r="A168" s="9" t="n">
        <v>45965</v>
      </c>
      <c r="B168" s="10" t="inlineStr">
        <is>
          <t>NSH @ MIN</t>
        </is>
      </c>
      <c r="C168" s="13" t="n">
        <v>70</v>
      </c>
      <c r="D168" s="13" t="n">
        <v>77.55</v>
      </c>
      <c r="E168" s="13">
        <f>IF(OR(C168="",D168=""),"",ABS(C168-D168))</f>
        <v/>
      </c>
      <c r="F168" s="11" t="inlineStr">
        <is>
          <t>MIN</t>
        </is>
      </c>
      <c r="G168" s="12" t="n">
        <v>-225</v>
      </c>
      <c r="H168" s="14">
        <f>IF(OR(F168="",G168="",AND(I168&lt;&gt;"W",I168&lt;&gt;"L")),"",IF(I168="W",IF(G168&gt;0,G168/100,1),IF(G168&lt;0,G168/100,-1)))</f>
        <v/>
      </c>
      <c r="I168" s="11" t="inlineStr">
        <is>
          <t>W</t>
        </is>
      </c>
      <c r="J168" s="10" t="inlineStr">
        <is>
          <t>NSH 2, MIN 3</t>
        </is>
      </c>
      <c r="K168" s="10" t="inlineStr">
        <is>
          <t>ESPN BET closing</t>
        </is>
      </c>
    </row>
    <row r="169">
      <c r="A169" s="9" t="n">
        <v>45965</v>
      </c>
      <c r="B169" s="10" t="inlineStr">
        <is>
          <t>TBL @ COL</t>
        </is>
      </c>
      <c r="C169" s="13" t="n">
        <v>72.56</v>
      </c>
      <c r="D169" s="13" t="n">
        <v>80.54000000000001</v>
      </c>
      <c r="E169" s="13">
        <f>IF(OR(C169="",D169=""),"",ABS(C169-D169))</f>
        <v/>
      </c>
      <c r="F169" s="11" t="inlineStr">
        <is>
          <t>COL</t>
        </is>
      </c>
      <c r="G169" s="12" t="n">
        <v>-145</v>
      </c>
      <c r="H169" s="14">
        <f>IF(OR(F169="",G169="",AND(I169&lt;&gt;"W",I169&lt;&gt;"L")),"",IF(I169="W",IF(G169&gt;0,G169/100,1),IF(G169&lt;0,G169/100,-1)))</f>
        <v/>
      </c>
      <c r="I169" s="11" t="inlineStr">
        <is>
          <t>W</t>
        </is>
      </c>
      <c r="J169" s="10" t="inlineStr">
        <is>
          <t>TBL 2, COL 3</t>
        </is>
      </c>
      <c r="K169" s="10" t="inlineStr">
        <is>
          <t>ESPN BET closing</t>
        </is>
      </c>
    </row>
    <row r="170">
      <c r="A170" s="9" t="n">
        <v>45965</v>
      </c>
      <c r="B170" s="10" t="inlineStr">
        <is>
          <t>DET @ VGK</t>
        </is>
      </c>
      <c r="C170" s="13" t="n">
        <v>77.89</v>
      </c>
      <c r="D170" s="13" t="n">
        <v>64.06</v>
      </c>
      <c r="E170" s="13">
        <f>IF(OR(C170="",D170=""),"",ABS(C170-D170))</f>
        <v/>
      </c>
      <c r="F170" s="11" t="inlineStr">
        <is>
          <t>DET</t>
        </is>
      </c>
      <c r="G170" s="12" t="n">
        <v>160</v>
      </c>
      <c r="H170" s="14">
        <f>IF(OR(F170="",G170="",AND(I170&lt;&gt;"W",I170&lt;&gt;"L")),"",IF(I170="W",IF(G170&gt;0,G170/100,1),IF(G170&lt;0,G170/100,-1)))</f>
        <v/>
      </c>
      <c r="I170" s="11" t="inlineStr">
        <is>
          <t>L</t>
        </is>
      </c>
      <c r="J170" s="10" t="inlineStr">
        <is>
          <t>DET 0, VGK 1</t>
        </is>
      </c>
      <c r="K170" s="10" t="inlineStr">
        <is>
          <t>ESPN BET closing</t>
        </is>
      </c>
    </row>
    <row r="171">
      <c r="A171" s="9" t="n">
        <v>45965</v>
      </c>
      <c r="B171" s="10" t="inlineStr">
        <is>
          <t>FLA @ ANA</t>
        </is>
      </c>
      <c r="C171" s="13" t="n">
        <v>79.95</v>
      </c>
      <c r="D171" s="13" t="n">
        <v>79.8</v>
      </c>
      <c r="E171" s="13">
        <f>IF(OR(C171="",D171=""),"",ABS(C171-D171))</f>
        <v/>
      </c>
      <c r="F171" s="11" t="inlineStr">
        <is>
          <t>FLA</t>
        </is>
      </c>
      <c r="G171" s="12" t="n">
        <v>-155</v>
      </c>
      <c r="H171" s="14">
        <f>IF(OR(F171="",G171="",AND(I171&lt;&gt;"W",I171&lt;&gt;"L")),"",IF(I171="W",IF(G171&gt;0,G171/100,1),IF(G171&lt;0,G171/100,-1)))</f>
        <v/>
      </c>
      <c r="I171" s="11" t="inlineStr">
        <is>
          <t>L</t>
        </is>
      </c>
      <c r="J171" s="10" t="inlineStr">
        <is>
          <t>FLA 3, ANA 7</t>
        </is>
      </c>
      <c r="K171" s="10" t="inlineStr">
        <is>
          <t>ESPN BET closing</t>
        </is>
      </c>
    </row>
    <row r="172">
      <c r="A172" s="9" t="n">
        <v>45965</v>
      </c>
      <c r="B172" s="10" t="inlineStr">
        <is>
          <t>WPG @ LAK</t>
        </is>
      </c>
      <c r="C172" s="13" t="n">
        <v>78.70999999999999</v>
      </c>
      <c r="D172" s="13" t="n">
        <v>74.94</v>
      </c>
      <c r="E172" s="13">
        <f>IF(OR(C172="",D172=""),"",ABS(C172-D172))</f>
        <v/>
      </c>
      <c r="F172" s="11" t="inlineStr">
        <is>
          <t>WPG</t>
        </is>
      </c>
      <c r="G172" s="12" t="n">
        <v>105</v>
      </c>
      <c r="H172" s="14">
        <f>IF(OR(F172="",G172="",AND(I172&lt;&gt;"W",I172&lt;&gt;"L")),"",IF(I172="W",IF(G172&gt;0,G172/100,1),IF(G172&lt;0,G172/100,-1)))</f>
        <v/>
      </c>
      <c r="I172" s="11" t="inlineStr">
        <is>
          <t>L</t>
        </is>
      </c>
      <c r="J172" s="10" t="inlineStr">
        <is>
          <t>WPG 0, LAK 3</t>
        </is>
      </c>
      <c r="K172" s="10" t="inlineStr">
        <is>
          <t>ESPN BET closing</t>
        </is>
      </c>
    </row>
    <row r="173">
      <c r="A173" s="9" t="n">
        <v>45966</v>
      </c>
      <c r="B173" s="10" t="inlineStr">
        <is>
          <t>UTA @ TOR</t>
        </is>
      </c>
      <c r="C173" s="13" t="n">
        <v>87.39</v>
      </c>
      <c r="D173" s="13" t="n">
        <v>60.08</v>
      </c>
      <c r="E173" s="13">
        <f>IF(OR(C173="",D173=""),"",ABS(C173-D173))</f>
        <v/>
      </c>
      <c r="F173" s="11" t="inlineStr">
        <is>
          <t>UTA</t>
        </is>
      </c>
      <c r="G173" s="12" t="n">
        <v>125</v>
      </c>
      <c r="H173" s="14">
        <f>IF(OR(F173="",G173="",AND(I173&lt;&gt;"W",I173&lt;&gt;"L")),"",IF(I173="W",IF(G173&gt;0,G173/100,1),IF(G173&lt;0,G173/100,-1)))</f>
        <v/>
      </c>
      <c r="I173" s="11" t="inlineStr">
        <is>
          <t>L</t>
        </is>
      </c>
      <c r="J173" s="10" t="inlineStr">
        <is>
          <t>UTA 3, TOR 5</t>
        </is>
      </c>
      <c r="K173" s="10" t="inlineStr">
        <is>
          <t>ESPN BET closing</t>
        </is>
      </c>
    </row>
    <row r="174">
      <c r="A174" s="9" t="n">
        <v>45966</v>
      </c>
      <c r="B174" s="10" t="inlineStr">
        <is>
          <t>STL @ WSH</t>
        </is>
      </c>
      <c r="C174" s="13" t="n">
        <v>66.45</v>
      </c>
      <c r="D174" s="13" t="n">
        <v>73.5</v>
      </c>
      <c r="E174" s="13">
        <f>IF(OR(C174="",D174=""),"",ABS(C174-D174))</f>
        <v/>
      </c>
      <c r="F174" s="11" t="inlineStr">
        <is>
          <t>WSH</t>
        </is>
      </c>
      <c r="G174" s="12" t="n">
        <v>-150</v>
      </c>
      <c r="H174" s="14">
        <f>IF(OR(F174="",G174="",AND(I174&lt;&gt;"W",I174&lt;&gt;"L")),"",IF(I174="W",IF(G174&gt;0,G174/100,1),IF(G174&lt;0,G174/100,-1)))</f>
        <v/>
      </c>
      <c r="I174" s="11" t="inlineStr">
        <is>
          <t>W</t>
        </is>
      </c>
      <c r="J174" s="10" t="inlineStr">
        <is>
          <t>STL 1, WSH 6</t>
        </is>
      </c>
      <c r="K174" s="10" t="inlineStr">
        <is>
          <t>ESPN BET closing</t>
        </is>
      </c>
    </row>
    <row r="175">
      <c r="A175" s="9" t="n">
        <v>45966</v>
      </c>
      <c r="B175" s="10" t="inlineStr">
        <is>
          <t>CBJ @ CGY</t>
        </is>
      </c>
      <c r="C175" s="13" t="n">
        <v>57.38</v>
      </c>
      <c r="D175" s="13" t="n">
        <v>72.7</v>
      </c>
      <c r="E175" s="13">
        <f>IF(OR(C175="",D175=""),"",ABS(C175-D175))</f>
        <v/>
      </c>
      <c r="F175" s="11" t="inlineStr">
        <is>
          <t>CGY</t>
        </is>
      </c>
      <c r="G175" s="12" t="n">
        <v>-115</v>
      </c>
      <c r="H175" s="14">
        <f>IF(OR(F175="",G175="",AND(I175&lt;&gt;"W",I175&lt;&gt;"L")),"",IF(I175="W",IF(G175&gt;0,G175/100,1),IF(G175&lt;0,G175/100,-1)))</f>
        <v/>
      </c>
      <c r="I175" s="11" t="inlineStr">
        <is>
          <t>W</t>
        </is>
      </c>
      <c r="J175" s="10" t="inlineStr">
        <is>
          <t>CBJ 1, CGY 5</t>
        </is>
      </c>
      <c r="K175" s="10" t="inlineStr">
        <is>
          <t>ESPN BET closing</t>
        </is>
      </c>
    </row>
    <row r="176">
      <c r="A176" s="9" t="n">
        <v>45966</v>
      </c>
      <c r="B176" s="10" t="inlineStr">
        <is>
          <t>CHI @ VAN</t>
        </is>
      </c>
      <c r="C176" s="13" t="n">
        <v>70.14</v>
      </c>
      <c r="D176" s="13" t="n">
        <v>70</v>
      </c>
      <c r="E176" s="13">
        <f>IF(OR(C176="",D176=""),"",ABS(C176-D176))</f>
        <v/>
      </c>
      <c r="F176" s="11" t="inlineStr">
        <is>
          <t>CHI</t>
        </is>
      </c>
      <c r="G176" s="12" t="n">
        <v>120</v>
      </c>
      <c r="H176" s="14">
        <f>IF(OR(F176="",G176="",AND(I176&lt;&gt;"W",I176&lt;&gt;"L")),"",IF(I176="W",IF(G176&gt;0,G176/100,1),IF(G176&lt;0,G176/100,-1)))</f>
        <v/>
      </c>
      <c r="I176" s="11" t="inlineStr">
        <is>
          <t>W</t>
        </is>
      </c>
      <c r="J176" s="10" t="inlineStr">
        <is>
          <t>CHI 5, VAN 2</t>
        </is>
      </c>
      <c r="K176" s="10" t="inlineStr">
        <is>
          <t>ESPN BET closing</t>
        </is>
      </c>
    </row>
    <row r="177">
      <c r="A177" s="9" t="n">
        <v>45966</v>
      </c>
      <c r="B177" s="10" t="inlineStr">
        <is>
          <t>SJS @ SEA</t>
        </is>
      </c>
      <c r="C177" s="13" t="n">
        <v>62.11</v>
      </c>
      <c r="D177" s="13" t="n">
        <v>69.86</v>
      </c>
      <c r="E177" s="13">
        <f>IF(OR(C177="",D177=""),"",ABS(C177-D177))</f>
        <v/>
      </c>
      <c r="F177" s="11" t="inlineStr">
        <is>
          <t>SEA</t>
        </is>
      </c>
      <c r="G177" s="12" t="n">
        <v>-165</v>
      </c>
      <c r="H177" s="14">
        <f>IF(OR(F177="",G177="",AND(I177&lt;&gt;"W",I177&lt;&gt;"L")),"",IF(I177="W",IF(G177&gt;0,G177/100,1),IF(G177&lt;0,G177/100,-1)))</f>
        <v/>
      </c>
      <c r="I177" s="11" t="inlineStr">
        <is>
          <t>L</t>
        </is>
      </c>
      <c r="J177" s="10" t="inlineStr">
        <is>
          <t>SJS 6, SEA 1</t>
        </is>
      </c>
      <c r="K177" s="10" t="inlineStr">
        <is>
          <t>ESPN BET closing</t>
        </is>
      </c>
    </row>
    <row r="178">
      <c r="A178" s="9" t="n">
        <v>45967</v>
      </c>
      <c r="B178" s="10" t="inlineStr">
        <is>
          <t>OTT @ BOS</t>
        </is>
      </c>
      <c r="C178" s="13" t="n">
        <v>63.47</v>
      </c>
      <c r="D178" s="13" t="n">
        <v>67.11</v>
      </c>
      <c r="E178" s="13">
        <f>IF(OR(C178="",D178=""),"",ABS(C178-D178))</f>
        <v/>
      </c>
      <c r="F178" s="11" t="inlineStr">
        <is>
          <t>BOS</t>
        </is>
      </c>
      <c r="G178" s="12" t="n">
        <v>135</v>
      </c>
      <c r="H178" s="14">
        <f>IF(OR(F178="",G178="",AND(I178&lt;&gt;"W",I178&lt;&gt;"L")),"",IF(I178="W",IF(G178&gt;0,G178/100,1),IF(G178&lt;0,G178/100,-1)))</f>
        <v/>
      </c>
      <c r="I178" s="11" t="inlineStr">
        <is>
          <t>W</t>
        </is>
      </c>
      <c r="J178" s="10" t="inlineStr">
        <is>
          <t>OTT 2, BOS 3</t>
        </is>
      </c>
      <c r="K178" s="10" t="inlineStr">
        <is>
          <t>ESPN BET closing</t>
        </is>
      </c>
    </row>
    <row r="179">
      <c r="A179" s="9" t="n">
        <v>45967</v>
      </c>
      <c r="B179" s="10" t="inlineStr">
        <is>
          <t>STL @ BUF</t>
        </is>
      </c>
      <c r="C179" s="13" t="n">
        <v>45.35</v>
      </c>
      <c r="D179" s="13" t="n">
        <v>52.61</v>
      </c>
      <c r="E179" s="13">
        <f>IF(OR(C179="",D179=""),"",ABS(C179-D179))</f>
        <v/>
      </c>
      <c r="F179" s="11" t="inlineStr">
        <is>
          <t>BUF</t>
        </is>
      </c>
      <c r="G179" s="12" t="n">
        <v>-145</v>
      </c>
      <c r="H179" s="14">
        <f>IF(OR(F179="",G179="",AND(I179&lt;&gt;"W",I179&lt;&gt;"L")),"",IF(I179="W",IF(G179&gt;0,G179/100,1),IF(G179&lt;0,G179/100,-1)))</f>
        <v/>
      </c>
      <c r="I179" s="11" t="inlineStr">
        <is>
          <t>L</t>
        </is>
      </c>
      <c r="J179" s="10" t="inlineStr">
        <is>
          <t>STL 3, BUF 0</t>
        </is>
      </c>
      <c r="K179" s="10" t="inlineStr">
        <is>
          <t>ESPN BET closing</t>
        </is>
      </c>
    </row>
    <row r="180">
      <c r="A180" s="9" t="n">
        <v>45967</v>
      </c>
      <c r="B180" s="10" t="inlineStr">
        <is>
          <t>MTL @ NJD</t>
        </is>
      </c>
      <c r="C180" s="13" t="n">
        <v>60.79</v>
      </c>
      <c r="D180" s="13" t="n">
        <v>60.2</v>
      </c>
      <c r="E180" s="13">
        <f>IF(OR(C180="",D180=""),"",ABS(C180-D180))</f>
        <v/>
      </c>
      <c r="F180" s="11" t="inlineStr">
        <is>
          <t>MTL</t>
        </is>
      </c>
      <c r="G180" s="12" t="n">
        <v>120</v>
      </c>
      <c r="H180" s="14">
        <f>IF(OR(F180="",G180="",AND(I180&lt;&gt;"W",I180&lt;&gt;"L")),"",IF(I180="W",IF(G180&gt;0,G180/100,1),IF(G180&lt;0,G180/100,-1)))</f>
        <v/>
      </c>
      <c r="I180" s="11" t="inlineStr">
        <is>
          <t>L</t>
        </is>
      </c>
      <c r="J180" s="10" t="inlineStr">
        <is>
          <t>MTL 3, NJD 4</t>
        </is>
      </c>
      <c r="K180" s="10" t="inlineStr">
        <is>
          <t>ESPN BET closing</t>
        </is>
      </c>
    </row>
    <row r="181">
      <c r="A181" s="9" t="n">
        <v>45967</v>
      </c>
      <c r="B181" s="10" t="inlineStr">
        <is>
          <t>MIN @ CAR</t>
        </is>
      </c>
      <c r="C181" s="13" t="n">
        <v>69.78</v>
      </c>
      <c r="D181" s="13" t="n">
        <v>82.34</v>
      </c>
      <c r="E181" s="13">
        <f>IF(OR(C181="",D181=""),"",ABS(C181-D181))</f>
        <v/>
      </c>
      <c r="F181" s="11" t="inlineStr">
        <is>
          <t>CAR</t>
        </is>
      </c>
      <c r="G181" s="12" t="n">
        <v>-190</v>
      </c>
      <c r="H181" s="14">
        <f>IF(OR(F181="",G181="",AND(I181&lt;&gt;"W",I181&lt;&gt;"L")),"",IF(I181="W",IF(G181&gt;0,G181/100,1),IF(G181&lt;0,G181/100,-1)))</f>
        <v/>
      </c>
      <c r="I181" s="11" t="inlineStr">
        <is>
          <t>W</t>
        </is>
      </c>
      <c r="J181" s="10" t="inlineStr">
        <is>
          <t>MIN 3, CAR 4</t>
        </is>
      </c>
      <c r="K181" s="10" t="inlineStr">
        <is>
          <t>ESPN BET closing</t>
        </is>
      </c>
    </row>
    <row r="182">
      <c r="A182" s="9" t="n">
        <v>45967</v>
      </c>
      <c r="B182" s="10" t="inlineStr">
        <is>
          <t>WSH @ PIT</t>
        </is>
      </c>
      <c r="C182" s="13" t="n">
        <v>94.65000000000001</v>
      </c>
      <c r="D182" s="13" t="n">
        <v>79.92</v>
      </c>
      <c r="E182" s="13">
        <f>IF(OR(C182="",D182=""),"",ABS(C182-D182))</f>
        <v/>
      </c>
      <c r="F182" s="11" t="inlineStr">
        <is>
          <t>WSH</t>
        </is>
      </c>
      <c r="G182" s="12" t="n">
        <v>-110</v>
      </c>
      <c r="H182" s="14">
        <f>IF(OR(F182="",G182="",AND(I182&lt;&gt;"W",I182&lt;&gt;"L")),"",IF(I182="W",IF(G182&gt;0,G182/100,1),IF(G182&lt;0,G182/100,-1)))</f>
        <v/>
      </c>
      <c r="I182" s="11" t="inlineStr">
        <is>
          <t>L</t>
        </is>
      </c>
      <c r="J182" s="10" t="inlineStr">
        <is>
          <t>WSH 3, PIT 5</t>
        </is>
      </c>
      <c r="K182" s="10" t="inlineStr">
        <is>
          <t>ESPN BET closing</t>
        </is>
      </c>
    </row>
    <row r="183">
      <c r="A183" s="9" t="n">
        <v>45967</v>
      </c>
      <c r="B183" s="10" t="inlineStr">
        <is>
          <t>PHI @ NSH</t>
        </is>
      </c>
      <c r="C183" s="13" t="n">
        <v>79.20999999999999</v>
      </c>
      <c r="D183" s="13" t="n">
        <v>70.22</v>
      </c>
      <c r="E183" s="13">
        <f>IF(OR(C183="",D183=""),"",ABS(C183-D183))</f>
        <v/>
      </c>
      <c r="F183" s="11" t="inlineStr">
        <is>
          <t>PHI</t>
        </is>
      </c>
      <c r="G183" s="12" t="n">
        <v>105</v>
      </c>
      <c r="H183" s="14">
        <f>IF(OR(F183="",G183="",AND(I183&lt;&gt;"W",I183&lt;&gt;"L")),"",IF(I183="W",IF(G183&gt;0,G183/100,1),IF(G183&lt;0,G183/100,-1)))</f>
        <v/>
      </c>
      <c r="I183" s="11" t="inlineStr">
        <is>
          <t>W</t>
        </is>
      </c>
      <c r="J183" s="10" t="inlineStr">
        <is>
          <t>PHI 3, NSH 1</t>
        </is>
      </c>
      <c r="K183" s="10" t="inlineStr">
        <is>
          <t>ESPN BET closing</t>
        </is>
      </c>
    </row>
    <row r="184">
      <c r="A184" s="9" t="n">
        <v>45967</v>
      </c>
      <c r="B184" s="10" t="inlineStr">
        <is>
          <t>ANA @ DAL</t>
        </is>
      </c>
      <c r="C184" s="13" t="n">
        <v>86.01000000000001</v>
      </c>
      <c r="D184" s="13" t="n">
        <v>71.67</v>
      </c>
      <c r="E184" s="13">
        <f>IF(OR(C184="",D184=""),"",ABS(C184-D184))</f>
        <v/>
      </c>
      <c r="F184" s="11" t="inlineStr">
        <is>
          <t>ANA</t>
        </is>
      </c>
      <c r="G184" s="12" t="n">
        <v>145</v>
      </c>
      <c r="H184" s="14">
        <f>IF(OR(F184="",G184="",AND(I184&lt;&gt;"W",I184&lt;&gt;"L")),"",IF(I184="W",IF(G184&gt;0,G184/100,1),IF(G184&lt;0,G184/100,-1)))</f>
        <v/>
      </c>
      <c r="I184" s="11" t="inlineStr">
        <is>
          <t>W</t>
        </is>
      </c>
      <c r="J184" s="10" t="inlineStr">
        <is>
          <t>ANA 7, DAL 5</t>
        </is>
      </c>
      <c r="K184" s="10" t="inlineStr">
        <is>
          <t>ESPN BET closing</t>
        </is>
      </c>
    </row>
    <row r="185">
      <c r="A185" s="9" t="n">
        <v>45967</v>
      </c>
      <c r="B185" s="10" t="inlineStr">
        <is>
          <t>TBL @ VGK</t>
        </is>
      </c>
      <c r="C185" s="13" t="n">
        <v>64.63</v>
      </c>
      <c r="D185" s="13" t="n">
        <v>75.86</v>
      </c>
      <c r="E185" s="13">
        <f>IF(OR(C185="",D185=""),"",ABS(C185-D185))</f>
        <v/>
      </c>
      <c r="F185" s="11" t="inlineStr">
        <is>
          <t>VGK</t>
        </is>
      </c>
      <c r="G185" s="12" t="n">
        <v>-120</v>
      </c>
      <c r="H185" s="14">
        <f>IF(OR(F185="",G185="",AND(I185&lt;&gt;"W",I185&lt;&gt;"L")),"",IF(I185="W",IF(G185&gt;0,G185/100,1),IF(G185&lt;0,G185/100,-1)))</f>
        <v/>
      </c>
      <c r="I185" s="11" t="inlineStr">
        <is>
          <t>L</t>
        </is>
      </c>
      <c r="J185" s="10" t="inlineStr">
        <is>
          <t>TBL 6, VGK 3</t>
        </is>
      </c>
      <c r="K185" s="10" t="inlineStr">
        <is>
          <t>ESPN BET closing</t>
        </is>
      </c>
    </row>
    <row r="186">
      <c r="A186" s="9" t="n">
        <v>45967</v>
      </c>
      <c r="B186" s="10" t="inlineStr">
        <is>
          <t>FLA @ LAK</t>
        </is>
      </c>
      <c r="C186" s="13" t="n">
        <v>53.99</v>
      </c>
      <c r="D186" s="13" t="n">
        <v>80.5</v>
      </c>
      <c r="E186" s="13">
        <f>IF(OR(C186="",D186=""),"",ABS(C186-D186))</f>
        <v/>
      </c>
      <c r="F186" s="11" t="inlineStr">
        <is>
          <t>LAK</t>
        </is>
      </c>
      <c r="G186" s="12" t="n">
        <v>-110</v>
      </c>
      <c r="H186" s="14">
        <f>IF(OR(F186="",G186="",AND(I186&lt;&gt;"W",I186&lt;&gt;"L")),"",IF(I186="W",IF(G186&gt;0,G186/100,1),IF(G186&lt;0,G186/100,-1)))</f>
        <v/>
      </c>
      <c r="I186" s="11" t="inlineStr">
        <is>
          <t>L</t>
        </is>
      </c>
      <c r="J186" s="10" t="inlineStr">
        <is>
          <t>FLA 5, LAK 2</t>
        </is>
      </c>
      <c r="K186" s="10" t="inlineStr">
        <is>
          <t>ESPN BET closing</t>
        </is>
      </c>
    </row>
    <row r="187">
      <c r="A187" s="9" t="n">
        <v>45968</v>
      </c>
      <c r="B187" s="10" t="inlineStr">
        <is>
          <t>NYR @ DET</t>
        </is>
      </c>
      <c r="C187" s="13" t="n">
        <v>57.66</v>
      </c>
      <c r="D187" s="13" t="n">
        <v>64.14</v>
      </c>
      <c r="E187" s="13">
        <f>IF(OR(C187="",D187=""),"",ABS(C187-D187))</f>
        <v/>
      </c>
      <c r="F187" s="11" t="inlineStr">
        <is>
          <t>DET</t>
        </is>
      </c>
      <c r="G187" s="12" t="n">
        <v>-120</v>
      </c>
      <c r="H187" s="14">
        <f>IF(OR(F187="",G187="",AND(I187&lt;&gt;"W",I187&lt;&gt;"L")),"",IF(I187="W",IF(G187&gt;0,G187/100,1),IF(G187&lt;0,G187/100,-1)))</f>
        <v/>
      </c>
      <c r="I187" s="11" t="inlineStr">
        <is>
          <t>L</t>
        </is>
      </c>
      <c r="J187" s="10" t="inlineStr">
        <is>
          <t>NYR 4, DET 1</t>
        </is>
      </c>
      <c r="K187" s="10" t="inlineStr">
        <is>
          <t>ESPN BET closing</t>
        </is>
      </c>
    </row>
    <row r="188">
      <c r="A188" s="9" t="n">
        <v>45968</v>
      </c>
      <c r="B188" s="10" t="inlineStr">
        <is>
          <t>MIN @ NYI</t>
        </is>
      </c>
      <c r="C188" s="13" t="n">
        <v>55.31</v>
      </c>
      <c r="D188" s="13" t="n">
        <v>72.89</v>
      </c>
      <c r="E188" s="13">
        <f>IF(OR(C188="",D188=""),"",ABS(C188-D188))</f>
        <v/>
      </c>
      <c r="F188" s="11" t="inlineStr">
        <is>
          <t>NYI</t>
        </is>
      </c>
      <c r="G188" s="12" t="n">
        <v>-160</v>
      </c>
      <c r="H188" s="14">
        <f>IF(OR(F188="",G188="",AND(I188&lt;&gt;"W",I188&lt;&gt;"L")),"",IF(I188="W",IF(G188&gt;0,G188/100,1),IF(G188&lt;0,G188/100,-1)))</f>
        <v/>
      </c>
      <c r="I188" s="11" t="inlineStr">
        <is>
          <t>L</t>
        </is>
      </c>
      <c r="J188" s="10" t="inlineStr">
        <is>
          <t>MIN 5, NYI 2</t>
        </is>
      </c>
      <c r="K188" s="10" t="inlineStr">
        <is>
          <t>ESPN BET closing</t>
        </is>
      </c>
    </row>
    <row r="189">
      <c r="A189" s="9" t="n">
        <v>45968</v>
      </c>
      <c r="B189" s="10" t="inlineStr">
        <is>
          <t>CHI @ CGY</t>
        </is>
      </c>
      <c r="C189" s="13" t="n">
        <v>71.84999999999999</v>
      </c>
      <c r="D189" s="13" t="n">
        <v>71.23</v>
      </c>
      <c r="E189" s="13">
        <f>IF(OR(C189="",D189=""),"",ABS(C189-D189))</f>
        <v/>
      </c>
      <c r="F189" s="11" t="inlineStr">
        <is>
          <t>CHI</t>
        </is>
      </c>
      <c r="G189" s="12" t="n">
        <v>125</v>
      </c>
      <c r="H189" s="14">
        <f>IF(OR(F189="",G189="",AND(I189&lt;&gt;"W",I189&lt;&gt;"L")),"",IF(I189="W",IF(G189&gt;0,G189/100,1),IF(G189&lt;0,G189/100,-1)))</f>
        <v/>
      </c>
      <c r="I189" s="11" t="inlineStr">
        <is>
          <t>W</t>
        </is>
      </c>
      <c r="J189" s="10" t="inlineStr">
        <is>
          <t>CHI 4, CGY 0</t>
        </is>
      </c>
      <c r="K189" s="10" t="inlineStr">
        <is>
          <t>ESPN BET closing</t>
        </is>
      </c>
    </row>
    <row r="190">
      <c r="A190" s="9" t="n">
        <v>45968</v>
      </c>
      <c r="B190" s="10" t="inlineStr">
        <is>
          <t>WPG @ SJS</t>
        </is>
      </c>
      <c r="C190" s="13" t="n">
        <v>59.5</v>
      </c>
      <c r="D190" s="13" t="n">
        <v>80.92</v>
      </c>
      <c r="E190" s="13">
        <f>IF(OR(C190="",D190=""),"",ABS(C190-D190))</f>
        <v/>
      </c>
      <c r="F190" s="11" t="inlineStr">
        <is>
          <t>SJS</t>
        </is>
      </c>
      <c r="G190" s="12" t="n">
        <v>160</v>
      </c>
      <c r="H190" s="14">
        <f>IF(OR(F190="",G190="",AND(I190&lt;&gt;"W",I190&lt;&gt;"L")),"",IF(I190="W",IF(G190&gt;0,G190/100,1),IF(G190&lt;0,G190/100,-1)))</f>
        <v/>
      </c>
      <c r="I190" s="11" t="inlineStr">
        <is>
          <t>W</t>
        </is>
      </c>
      <c r="J190" s="10" t="inlineStr">
        <is>
          <t>WPG 1, SJS 2</t>
        </is>
      </c>
      <c r="K190" s="10" t="inlineStr">
        <is>
          <t>ESPN BET closing</t>
        </is>
      </c>
    </row>
    <row r="191">
      <c r="A191" s="9" t="n">
        <v>45969</v>
      </c>
      <c r="B191" s="10" t="inlineStr">
        <is>
          <t>PIT @ NJD</t>
        </is>
      </c>
      <c r="C191" s="13" t="n">
        <v>75.86</v>
      </c>
      <c r="D191" s="13" t="n">
        <v>74.47</v>
      </c>
      <c r="E191" s="13">
        <f>IF(OR(C191="",D191=""),"",ABS(C191-D191))</f>
        <v/>
      </c>
      <c r="F191" s="11" t="inlineStr">
        <is>
          <t>PIT</t>
        </is>
      </c>
      <c r="G191" s="12" t="n">
        <v>155</v>
      </c>
      <c r="H191" s="14">
        <f>IF(OR(F191="",G191="",AND(I191&lt;&gt;"W",I191&lt;&gt;"L")),"",IF(I191="W",IF(G191&gt;0,G191/100,1),IF(G191&lt;0,G191/100,-1)))</f>
        <v/>
      </c>
      <c r="I191" s="11" t="inlineStr">
        <is>
          <t>L</t>
        </is>
      </c>
      <c r="J191" s="10" t="inlineStr">
        <is>
          <t>PIT 1, NJD 2</t>
        </is>
      </c>
      <c r="K191" s="10" t="inlineStr">
        <is>
          <t>ESPN BET closing</t>
        </is>
      </c>
    </row>
    <row r="192">
      <c r="A192" s="9" t="n">
        <v>45969</v>
      </c>
      <c r="B192" s="10" t="inlineStr">
        <is>
          <t>OTT @ PHI</t>
        </is>
      </c>
      <c r="C192" s="13" t="n">
        <v>63.94</v>
      </c>
      <c r="D192" s="13" t="n">
        <v>66.54000000000001</v>
      </c>
      <c r="E192" s="13">
        <f>IF(OR(C192="",D192=""),"",ABS(C192-D192))</f>
        <v/>
      </c>
      <c r="F192" s="11" t="inlineStr">
        <is>
          <t>PHI</t>
        </is>
      </c>
      <c r="G192" s="12" t="n">
        <v>-105</v>
      </c>
      <c r="H192" s="14">
        <f>IF(OR(F192="",G192="",AND(I192&lt;&gt;"W",I192&lt;&gt;"L")),"",IF(I192="W",IF(G192&gt;0,G192/100,1),IF(G192&lt;0,G192/100,-1)))</f>
        <v/>
      </c>
      <c r="I192" s="11" t="inlineStr">
        <is>
          <t>L</t>
        </is>
      </c>
      <c r="J192" s="10" t="inlineStr">
        <is>
          <t>OTT 3, PHI 2</t>
        </is>
      </c>
      <c r="K192" s="10" t="inlineStr">
        <is>
          <t>ESPN BET closing</t>
        </is>
      </c>
    </row>
    <row r="193">
      <c r="A193" s="9" t="n">
        <v>45969</v>
      </c>
      <c r="B193" s="10" t="inlineStr">
        <is>
          <t>DAL @ NSH</t>
        </is>
      </c>
      <c r="C193" s="13" t="n">
        <v>64</v>
      </c>
      <c r="D193" s="13" t="n">
        <v>73.45999999999999</v>
      </c>
      <c r="E193" s="13">
        <f>IF(OR(C193="",D193=""),"",ABS(C193-D193))</f>
        <v/>
      </c>
      <c r="F193" s="11" t="inlineStr">
        <is>
          <t>NSH</t>
        </is>
      </c>
      <c r="G193" s="12" t="n">
        <v>135</v>
      </c>
      <c r="H193" s="14">
        <f>IF(OR(F193="",G193="",AND(I193&lt;&gt;"W",I193&lt;&gt;"L")),"",IF(I193="W",IF(G193&gt;0,G193/100,1),IF(G193&lt;0,G193/100,-1)))</f>
        <v/>
      </c>
      <c r="I193" s="11" t="inlineStr">
        <is>
          <t>L</t>
        </is>
      </c>
      <c r="J193" s="10" t="inlineStr">
        <is>
          <t>DAL 5, NSH 4</t>
        </is>
      </c>
      <c r="K193" s="10" t="inlineStr">
        <is>
          <t>ESPN BET closing</t>
        </is>
      </c>
    </row>
    <row r="194">
      <c r="A194" s="9" t="n">
        <v>45969</v>
      </c>
      <c r="B194" s="10" t="inlineStr">
        <is>
          <t>BOS @ TOR</t>
        </is>
      </c>
      <c r="C194" s="13" t="n">
        <v>76.06</v>
      </c>
      <c r="D194" s="13" t="n">
        <v>71.43000000000001</v>
      </c>
      <c r="E194" s="13">
        <f>IF(OR(C194="",D194=""),"",ABS(C194-D194))</f>
        <v/>
      </c>
      <c r="F194" s="11" t="inlineStr">
        <is>
          <t>BOS</t>
        </is>
      </c>
      <c r="G194" s="12" t="n">
        <v>170</v>
      </c>
      <c r="H194" s="14">
        <f>IF(OR(F194="",G194="",AND(I194&lt;&gt;"W",I194&lt;&gt;"L")),"",IF(I194="W",IF(G194&gt;0,G194/100,1),IF(G194&lt;0,G194/100,-1)))</f>
        <v/>
      </c>
      <c r="I194" s="11" t="inlineStr">
        <is>
          <t>W</t>
        </is>
      </c>
      <c r="J194" s="10" t="inlineStr">
        <is>
          <t>BOS 5, TOR 3</t>
        </is>
      </c>
      <c r="K194" s="10" t="inlineStr">
        <is>
          <t>ESPN BET closing</t>
        </is>
      </c>
    </row>
    <row r="195">
      <c r="A195" s="9" t="n">
        <v>45969</v>
      </c>
      <c r="B195" s="10" t="inlineStr">
        <is>
          <t>UTA @ MTL</t>
        </is>
      </c>
      <c r="C195" s="13" t="n">
        <v>68.56999999999999</v>
      </c>
      <c r="D195" s="13" t="n">
        <v>65.53</v>
      </c>
      <c r="E195" s="13">
        <f>IF(OR(C195="",D195=""),"",ABS(C195-D195))</f>
        <v/>
      </c>
      <c r="F195" s="11" t="inlineStr">
        <is>
          <t>UTA</t>
        </is>
      </c>
      <c r="G195" s="12" t="n">
        <v>-130</v>
      </c>
      <c r="H195" s="14">
        <f>IF(OR(F195="",G195="",AND(I195&lt;&gt;"W",I195&lt;&gt;"L")),"",IF(I195="W",IF(G195&gt;0,G195/100,1),IF(G195&lt;0,G195/100,-1)))</f>
        <v/>
      </c>
      <c r="I195" s="11" t="inlineStr">
        <is>
          <t>L</t>
        </is>
      </c>
      <c r="J195" s="10" t="inlineStr">
        <is>
          <t>UTA 2, MTL 6</t>
        </is>
      </c>
      <c r="K195" s="10" t="inlineStr">
        <is>
          <t>ESPN BET closing</t>
        </is>
      </c>
    </row>
    <row r="196">
      <c r="A196" s="9" t="n">
        <v>45969</v>
      </c>
      <c r="B196" s="10" t="inlineStr">
        <is>
          <t>WSH @ TBL</t>
        </is>
      </c>
      <c r="C196" s="13" t="n">
        <v>64.14</v>
      </c>
      <c r="D196" s="13" t="n">
        <v>76.77</v>
      </c>
      <c r="E196" s="13">
        <f>IF(OR(C196="",D196=""),"",ABS(C196-D196))</f>
        <v/>
      </c>
      <c r="F196" s="11" t="inlineStr">
        <is>
          <t>TBL</t>
        </is>
      </c>
      <c r="G196" s="12" t="n">
        <v>-145</v>
      </c>
      <c r="H196" s="14">
        <f>IF(OR(F196="",G196="",AND(I196&lt;&gt;"W",I196&lt;&gt;"L")),"",IF(I196="W",IF(G196&gt;0,G196/100,1),IF(G196&lt;0,G196/100,-1)))</f>
        <v/>
      </c>
      <c r="I196" s="11" t="inlineStr">
        <is>
          <t>W</t>
        </is>
      </c>
      <c r="J196" s="10" t="inlineStr">
        <is>
          <t>WSH 2, TBL 3</t>
        </is>
      </c>
      <c r="K196" s="10" t="inlineStr">
        <is>
          <t>ESPN BET closing</t>
        </is>
      </c>
    </row>
    <row r="197">
      <c r="A197" s="9" t="n">
        <v>45969</v>
      </c>
      <c r="B197" s="10" t="inlineStr">
        <is>
          <t>NYI @ NYR</t>
        </is>
      </c>
      <c r="C197" s="13" t="n">
        <v>54.3</v>
      </c>
      <c r="D197" s="13" t="n">
        <v>82.25</v>
      </c>
      <c r="E197" s="13">
        <f>IF(OR(C197="",D197=""),"",ABS(C197-D197))</f>
        <v/>
      </c>
      <c r="F197" s="11" t="inlineStr">
        <is>
          <t>NYR</t>
        </is>
      </c>
      <c r="G197" s="12" t="n">
        <v>-150</v>
      </c>
      <c r="H197" s="14">
        <f>IF(OR(F197="",G197="",AND(I197&lt;&gt;"W",I197&lt;&gt;"L")),"",IF(I197="W",IF(G197&gt;0,G197/100,1),IF(G197&lt;0,G197/100,-1)))</f>
        <v/>
      </c>
      <c r="I197" s="11" t="inlineStr">
        <is>
          <t>L</t>
        </is>
      </c>
      <c r="J197" s="10" t="inlineStr">
        <is>
          <t>NYI 5, NYR 0</t>
        </is>
      </c>
      <c r="K197" s="10" t="inlineStr">
        <is>
          <t>ESPN BET closing</t>
        </is>
      </c>
    </row>
    <row r="198">
      <c r="A198" s="9" t="n">
        <v>45969</v>
      </c>
      <c r="B198" s="10" t="inlineStr">
        <is>
          <t>BUF @ CAR</t>
        </is>
      </c>
      <c r="C198" s="13" t="n">
        <v>71.3</v>
      </c>
      <c r="D198" s="13" t="n">
        <v>84.69</v>
      </c>
      <c r="E198" s="13">
        <f>IF(OR(C198="",D198=""),"",ABS(C198-D198))</f>
        <v/>
      </c>
      <c r="F198" s="11" t="inlineStr">
        <is>
          <t>CAR</t>
        </is>
      </c>
      <c r="G198" s="12" t="n">
        <v>-240</v>
      </c>
      <c r="H198" s="14">
        <f>IF(OR(F198="",G198="",AND(I198&lt;&gt;"W",I198&lt;&gt;"L")),"",IF(I198="W",IF(G198&gt;0,G198/100,1),IF(G198&lt;0,G198/100,-1)))</f>
        <v/>
      </c>
      <c r="I198" s="11" t="inlineStr">
        <is>
          <t>W</t>
        </is>
      </c>
      <c r="J198" s="10" t="inlineStr">
        <is>
          <t>BUF 3, CAR 6</t>
        </is>
      </c>
      <c r="K198" s="10" t="inlineStr">
        <is>
          <t>ESPN BET closing</t>
        </is>
      </c>
    </row>
    <row r="199">
      <c r="A199" s="9" t="n">
        <v>45969</v>
      </c>
      <c r="B199" s="10" t="inlineStr">
        <is>
          <t>SEA @ STL</t>
        </is>
      </c>
      <c r="C199" s="13" t="n">
        <v>59.08</v>
      </c>
      <c r="D199" s="13" t="n">
        <v>68.7</v>
      </c>
      <c r="E199" s="13">
        <f>IF(OR(C199="",D199=""),"",ABS(C199-D199))</f>
        <v/>
      </c>
      <c r="F199" s="11" t="inlineStr">
        <is>
          <t>STL</t>
        </is>
      </c>
      <c r="G199" s="12" t="n">
        <v>-165</v>
      </c>
      <c r="H199" s="14">
        <f>IF(OR(F199="",G199="",AND(I199&lt;&gt;"W",I199&lt;&gt;"L")),"",IF(I199="W",IF(G199&gt;0,G199/100,1),IF(G199&lt;0,G199/100,-1)))</f>
        <v/>
      </c>
      <c r="I199" s="11" t="inlineStr">
        <is>
          <t>L</t>
        </is>
      </c>
      <c r="J199" s="10" t="inlineStr">
        <is>
          <t>SEA 4, STL 3</t>
        </is>
      </c>
      <c r="K199" s="10" t="inlineStr">
        <is>
          <t>ESPN BET closing</t>
        </is>
      </c>
    </row>
    <row r="200">
      <c r="A200" s="9" t="n">
        <v>45969</v>
      </c>
      <c r="B200" s="10" t="inlineStr">
        <is>
          <t>COL @ EDM</t>
        </is>
      </c>
      <c r="C200" s="13" t="n">
        <v>75.37</v>
      </c>
      <c r="D200" s="13" t="n">
        <v>68.33</v>
      </c>
      <c r="E200" s="13">
        <f>IF(OR(C200="",D200=""),"",ABS(C200-D200))</f>
        <v/>
      </c>
      <c r="F200" s="11" t="inlineStr">
        <is>
          <t>COL</t>
        </is>
      </c>
      <c r="G200" s="12" t="n">
        <v>-125</v>
      </c>
      <c r="H200" s="14">
        <f>IF(OR(F200="",G200="",AND(I200&lt;&gt;"W",I200&lt;&gt;"L")),"",IF(I200="W",IF(G200&gt;0,G200/100,1),IF(G200&lt;0,G200/100,-1)))</f>
        <v/>
      </c>
      <c r="I200" s="11" t="inlineStr">
        <is>
          <t>W</t>
        </is>
      </c>
      <c r="J200" s="10" t="inlineStr">
        <is>
          <t>COL 9, EDM 1</t>
        </is>
      </c>
      <c r="K200" s="10" t="inlineStr">
        <is>
          <t>ESPN BET closing</t>
        </is>
      </c>
    </row>
    <row r="201">
      <c r="A201" s="9" t="n">
        <v>45969</v>
      </c>
      <c r="B201" s="10" t="inlineStr">
        <is>
          <t>CBJ @ VAN</t>
        </is>
      </c>
      <c r="C201" s="13" t="n">
        <v>68.77</v>
      </c>
      <c r="D201" s="13" t="n">
        <v>68.15000000000001</v>
      </c>
      <c r="E201" s="13">
        <f>IF(OR(C201="",D201=""),"",ABS(C201-D201))</f>
        <v/>
      </c>
      <c r="F201" s="11" t="inlineStr">
        <is>
          <t>CBJ</t>
        </is>
      </c>
      <c r="G201" s="12" t="n">
        <v>-110</v>
      </c>
      <c r="H201" s="14">
        <f>IF(OR(F201="",G201="",AND(I201&lt;&gt;"W",I201&lt;&gt;"L")),"",IF(I201="W",IF(G201&gt;0,G201/100,1),IF(G201&lt;0,G201/100,-1)))</f>
        <v/>
      </c>
      <c r="I201" s="11" t="inlineStr">
        <is>
          <t>L</t>
        </is>
      </c>
      <c r="J201" s="10" t="inlineStr">
        <is>
          <t>CBJ 3, VAN 4</t>
        </is>
      </c>
      <c r="K201" s="10" t="inlineStr">
        <is>
          <t>ESPN BET closing</t>
        </is>
      </c>
    </row>
    <row r="202">
      <c r="A202" s="9" t="n">
        <v>45969</v>
      </c>
      <c r="B202" s="10" t="inlineStr">
        <is>
          <t>ANA @ VGK</t>
        </is>
      </c>
      <c r="C202" s="13" t="n">
        <v>76</v>
      </c>
      <c r="D202" s="13" t="n">
        <v>63.23</v>
      </c>
      <c r="E202" s="13">
        <f>IF(OR(C202="",D202=""),"",ABS(C202-D202))</f>
        <v/>
      </c>
      <c r="F202" s="11" t="inlineStr">
        <is>
          <t>ANA</t>
        </is>
      </c>
      <c r="G202" s="12" t="n">
        <v>190</v>
      </c>
      <c r="H202" s="14">
        <f>IF(OR(F202="",G202="",AND(I202&lt;&gt;"W",I202&lt;&gt;"L")),"",IF(I202="W",IF(G202&gt;0,G202/100,1),IF(G202&lt;0,G202/100,-1)))</f>
        <v/>
      </c>
      <c r="I202" s="11" t="inlineStr">
        <is>
          <t>W</t>
        </is>
      </c>
      <c r="J202" s="10" t="inlineStr">
        <is>
          <t>ANA 4, VGK 3</t>
        </is>
      </c>
      <c r="K202" s="10" t="inlineStr">
        <is>
          <t>ESPN BET closing</t>
        </is>
      </c>
    </row>
    <row r="203">
      <c r="A203" s="9" t="n">
        <v>45969</v>
      </c>
      <c r="B203" s="10" t="inlineStr">
        <is>
          <t>FLA @ SJS</t>
        </is>
      </c>
      <c r="C203" s="13" t="n">
        <v>81.55</v>
      </c>
      <c r="D203" s="13" t="n">
        <v>77.98999999999999</v>
      </c>
      <c r="E203" s="13">
        <f>IF(OR(C203="",D203=""),"",ABS(C203-D203))</f>
        <v/>
      </c>
      <c r="F203" s="11" t="inlineStr">
        <is>
          <t>FLA</t>
        </is>
      </c>
      <c r="G203" s="12" t="n">
        <v>-250</v>
      </c>
      <c r="H203" s="14">
        <f>IF(OR(F203="",G203="",AND(I203&lt;&gt;"W",I203&lt;&gt;"L")),"",IF(I203="W",IF(G203&gt;0,G203/100,1),IF(G203&lt;0,G203/100,-1)))</f>
        <v/>
      </c>
      <c r="I203" s="11" t="inlineStr">
        <is>
          <t>L</t>
        </is>
      </c>
      <c r="J203" s="10" t="inlineStr">
        <is>
          <t>FLA 1, SJS 3</t>
        </is>
      </c>
      <c r="K203" s="10" t="inlineStr">
        <is>
          <t>ESPN BET closing</t>
        </is>
      </c>
    </row>
    <row r="204">
      <c r="A204" s="9" t="n">
        <v>45970</v>
      </c>
      <c r="B204" s="10" t="inlineStr">
        <is>
          <t>CHI @ DET</t>
        </is>
      </c>
      <c r="C204" s="13" t="n">
        <v>79.62</v>
      </c>
      <c r="D204" s="13" t="n">
        <v>57.75</v>
      </c>
      <c r="E204" s="13">
        <f>IF(OR(C204="",D204=""),"",ABS(C204-D204))</f>
        <v/>
      </c>
      <c r="F204" s="11" t="inlineStr">
        <is>
          <t>CHI</t>
        </is>
      </c>
      <c r="G204" s="12" t="n">
        <v>155</v>
      </c>
      <c r="H204" s="14">
        <f>IF(OR(F204="",G204="",AND(I204&lt;&gt;"W",I204&lt;&gt;"L")),"",IF(I204="W",IF(G204&gt;0,G204/100,1),IF(G204&lt;0,G204/100,-1)))</f>
        <v/>
      </c>
      <c r="I204" s="11" t="inlineStr">
        <is>
          <t>W</t>
        </is>
      </c>
      <c r="J204" s="10" t="inlineStr">
        <is>
          <t>CHI 5, DET 1</t>
        </is>
      </c>
      <c r="K204" s="10" t="inlineStr">
        <is>
          <t>ESPN BET closing</t>
        </is>
      </c>
    </row>
    <row r="205">
      <c r="A205" s="9" t="n">
        <v>45970</v>
      </c>
      <c r="B205" s="10" t="inlineStr">
        <is>
          <t>LAK @ PIT</t>
        </is>
      </c>
      <c r="C205" s="13" t="n">
        <v>58.45</v>
      </c>
      <c r="D205" s="13" t="n">
        <v>75.95</v>
      </c>
      <c r="E205" s="13">
        <f>IF(OR(C205="",D205=""),"",ABS(C205-D205))</f>
        <v/>
      </c>
      <c r="F205" s="11" t="inlineStr">
        <is>
          <t>PIT</t>
        </is>
      </c>
      <c r="G205" s="12" t="n">
        <v>145</v>
      </c>
      <c r="H205" s="14">
        <f>IF(OR(F205="",G205="",AND(I205&lt;&gt;"W",I205&lt;&gt;"L")),"",IF(I205="W",IF(G205&gt;0,G205/100,1),IF(G205&lt;0,G205/100,-1)))</f>
        <v/>
      </c>
      <c r="I205" s="11" t="inlineStr">
        <is>
          <t>L</t>
        </is>
      </c>
      <c r="J205" s="10" t="inlineStr">
        <is>
          <t>LAK 3, PIT 2</t>
        </is>
      </c>
      <c r="K205" s="10" t="inlineStr">
        <is>
          <t>ESPN BET closing</t>
        </is>
      </c>
    </row>
    <row r="206">
      <c r="A206" s="9" t="n">
        <v>45970</v>
      </c>
      <c r="B206" s="10" t="inlineStr">
        <is>
          <t>CAR @ TOR</t>
        </is>
      </c>
      <c r="C206" s="13" t="n">
        <v>79.63</v>
      </c>
      <c r="D206" s="13" t="n">
        <v>59.7</v>
      </c>
      <c r="E206" s="13">
        <f>IF(OR(C206="",D206=""),"",ABS(C206-D206))</f>
        <v/>
      </c>
      <c r="F206" s="11" t="inlineStr">
        <is>
          <t>CAR</t>
        </is>
      </c>
      <c r="G206" s="12" t="n">
        <v>-135</v>
      </c>
      <c r="H206" s="14">
        <f>IF(OR(F206="",G206="",AND(I206&lt;&gt;"W",I206&lt;&gt;"L")),"",IF(I206="W",IF(G206&gt;0,G206/100,1),IF(G206&lt;0,G206/100,-1)))</f>
        <v/>
      </c>
      <c r="I206" s="11" t="inlineStr">
        <is>
          <t>W</t>
        </is>
      </c>
      <c r="J206" s="10" t="inlineStr">
        <is>
          <t>CAR 5, TOR 4</t>
        </is>
      </c>
      <c r="K206" s="10" t="inlineStr">
        <is>
          <t>ESPN BET closing</t>
        </is>
      </c>
    </row>
    <row r="207">
      <c r="A207" s="9" t="n">
        <v>45970</v>
      </c>
      <c r="B207" s="10" t="inlineStr">
        <is>
          <t>UTA @ OTT</t>
        </is>
      </c>
      <c r="C207" s="13" t="n">
        <v>60.36</v>
      </c>
      <c r="D207" s="13" t="n">
        <v>69.59</v>
      </c>
      <c r="E207" s="13">
        <f>IF(OR(C207="",D207=""),"",ABS(C207-D207))</f>
        <v/>
      </c>
      <c r="F207" s="11" t="inlineStr">
        <is>
          <t>OTT</t>
        </is>
      </c>
      <c r="G207" s="12" t="n">
        <v>100</v>
      </c>
      <c r="H207" s="14">
        <f>IF(OR(F207="",G207="",AND(I207&lt;&gt;"W",I207&lt;&gt;"L")),"",IF(I207="W",IF(G207&gt;0,G207/100,1),IF(G207&lt;0,G207/100,-1)))</f>
        <v/>
      </c>
      <c r="I207" s="11" t="inlineStr">
        <is>
          <t>W</t>
        </is>
      </c>
      <c r="J207" s="10" t="inlineStr">
        <is>
          <t>UTA 2, OTT 4</t>
        </is>
      </c>
      <c r="K207" s="10" t="inlineStr">
        <is>
          <t>ESPN BET closing</t>
        </is>
      </c>
    </row>
    <row r="208">
      <c r="A208" s="9" t="n">
        <v>45970</v>
      </c>
      <c r="B208" s="10" t="inlineStr">
        <is>
          <t>SEA @ DAL</t>
        </is>
      </c>
      <c r="C208" s="13" t="n">
        <v>77.15000000000001</v>
      </c>
      <c r="D208" s="13" t="n">
        <v>74.12</v>
      </c>
      <c r="E208" s="13">
        <f>IF(OR(C208="",D208=""),"",ABS(C208-D208))</f>
        <v/>
      </c>
      <c r="F208" s="11" t="inlineStr">
        <is>
          <t>SEA</t>
        </is>
      </c>
      <c r="G208" s="12" t="n">
        <v>170</v>
      </c>
      <c r="H208" s="14">
        <f>IF(OR(F208="",G208="",AND(I208&lt;&gt;"W",I208&lt;&gt;"L")),"",IF(I208="W",IF(G208&gt;0,G208/100,1),IF(G208&lt;0,G208/100,-1)))</f>
        <v/>
      </c>
      <c r="I208" s="11" t="inlineStr">
        <is>
          <t>L</t>
        </is>
      </c>
      <c r="J208" s="10" t="inlineStr">
        <is>
          <t>SEA 1, DAL 2</t>
        </is>
      </c>
      <c r="K208" s="10" t="inlineStr">
        <is>
          <t>ESPN BET closing</t>
        </is>
      </c>
    </row>
    <row r="209">
      <c r="A209" s="9" t="n">
        <v>45970</v>
      </c>
      <c r="B209" s="10" t="inlineStr">
        <is>
          <t>CGY @ MIN</t>
        </is>
      </c>
      <c r="C209" s="13" t="n">
        <v>60.38</v>
      </c>
      <c r="D209" s="13" t="n">
        <v>85.7</v>
      </c>
      <c r="E209" s="13">
        <f>IF(OR(C209="",D209=""),"",ABS(C209-D209))</f>
        <v/>
      </c>
      <c r="F209" s="11" t="inlineStr">
        <is>
          <t>MIN</t>
        </is>
      </c>
      <c r="G209" s="12" t="n">
        <v>-140</v>
      </c>
      <c r="H209" s="14">
        <f>IF(OR(F209="",G209="",AND(I209&lt;&gt;"W",I209&lt;&gt;"L")),"",IF(I209="W",IF(G209&gt;0,G209/100,1),IF(G209&lt;0,G209/100,-1)))</f>
        <v/>
      </c>
      <c r="I209" s="11" t="inlineStr">
        <is>
          <t>W</t>
        </is>
      </c>
      <c r="J209" s="10" t="inlineStr">
        <is>
          <t>CGY 0, MIN 2</t>
        </is>
      </c>
      <c r="K209" s="10" t="inlineStr">
        <is>
          <t>ESPN BET closing</t>
        </is>
      </c>
    </row>
    <row r="210">
      <c r="A210" s="9" t="n">
        <v>45970</v>
      </c>
      <c r="B210" s="10" t="inlineStr">
        <is>
          <t>COL @ VAN</t>
        </is>
      </c>
      <c r="C210" s="13" t="n">
        <v>98.48999999999999</v>
      </c>
      <c r="D210" s="13" t="n">
        <v>68.31</v>
      </c>
      <c r="E210" s="13">
        <f>IF(OR(C210="",D210=""),"",ABS(C210-D210))</f>
        <v/>
      </c>
      <c r="F210" s="11" t="inlineStr">
        <is>
          <t>COL</t>
        </is>
      </c>
      <c r="G210" s="12" t="n">
        <v>-210</v>
      </c>
      <c r="H210" s="14">
        <f>IF(OR(F210="",G210="",AND(I210&lt;&gt;"W",I210&lt;&gt;"L")),"",IF(I210="W",IF(G210&gt;0,G210/100,1),IF(G210&lt;0,G210/100,-1)))</f>
        <v/>
      </c>
      <c r="I210" s="11" t="inlineStr">
        <is>
          <t>W</t>
        </is>
      </c>
      <c r="J210" s="10" t="inlineStr">
        <is>
          <t>COL 5, VAN 4</t>
        </is>
      </c>
      <c r="K210" s="10" t="inlineStr">
        <is>
          <t>ESPN BET closing</t>
        </is>
      </c>
    </row>
    <row r="211">
      <c r="A211" s="9" t="n">
        <v>45970</v>
      </c>
      <c r="B211" s="10" t="inlineStr">
        <is>
          <t>WPG @ ANA</t>
        </is>
      </c>
      <c r="C211" s="13" t="n">
        <v>62.01</v>
      </c>
      <c r="D211" s="13" t="n">
        <v>69.36</v>
      </c>
      <c r="E211" s="13">
        <f>IF(OR(C211="",D211=""),"",ABS(C211-D211))</f>
        <v/>
      </c>
      <c r="F211" s="11" t="inlineStr">
        <is>
          <t>ANA</t>
        </is>
      </c>
      <c r="G211" s="12" t="n">
        <v>120</v>
      </c>
      <c r="H211" s="14">
        <f>IF(OR(F211="",G211="",AND(I211&lt;&gt;"W",I211&lt;&gt;"L")),"",IF(I211="W",IF(G211&gt;0,G211/100,1),IF(G211&lt;0,G211/100,-1)))</f>
        <v/>
      </c>
      <c r="I211" s="11" t="inlineStr">
        <is>
          <t>W</t>
        </is>
      </c>
      <c r="J211" s="10" t="inlineStr">
        <is>
          <t>WPG 1, ANA 4</t>
        </is>
      </c>
      <c r="K211" s="10" t="inlineStr">
        <is>
          <t>ESPN BET closing</t>
        </is>
      </c>
    </row>
    <row r="212">
      <c r="A212" s="9" t="n">
        <v>45971</v>
      </c>
      <c r="B212" s="10" t="inlineStr">
        <is>
          <t>NYI @ NJD</t>
        </is>
      </c>
      <c r="C212" s="13" t="n">
        <v>81.91</v>
      </c>
      <c r="D212" s="13" t="n">
        <v>64.05</v>
      </c>
      <c r="E212" s="13">
        <f>IF(OR(C212="",D212=""),"",ABS(C212-D212))</f>
        <v/>
      </c>
      <c r="F212" s="11" t="inlineStr">
        <is>
          <t>NYI</t>
        </is>
      </c>
      <c r="G212" s="12" t="n">
        <v>115</v>
      </c>
      <c r="H212" s="14">
        <f>IF(OR(F212="",G212="",AND(I212&lt;&gt;"W",I212&lt;&gt;"L")),"",IF(I212="W",IF(G212&gt;0,G212/100,1),IF(G212&lt;0,G212/100,-1)))</f>
        <v/>
      </c>
      <c r="I212" s="11" t="inlineStr">
        <is>
          <t>W</t>
        </is>
      </c>
      <c r="J212" s="10" t="inlineStr">
        <is>
          <t>NYI 3, NJD 2</t>
        </is>
      </c>
      <c r="K212" s="10" t="inlineStr">
        <is>
          <t>ESPN BET closing</t>
        </is>
      </c>
    </row>
    <row r="213">
      <c r="A213" s="9" t="n">
        <v>45971</v>
      </c>
      <c r="B213" s="10" t="inlineStr">
        <is>
          <t>NSH @ NYR</t>
        </is>
      </c>
      <c r="C213" s="13" t="n">
        <v>65.88</v>
      </c>
      <c r="D213" s="13" t="n">
        <v>58.09</v>
      </c>
      <c r="E213" s="13">
        <f>IF(OR(C213="",D213=""),"",ABS(C213-D213))</f>
        <v/>
      </c>
      <c r="F213" s="11" t="inlineStr">
        <is>
          <t>NSH</t>
        </is>
      </c>
      <c r="G213" s="12" t="n">
        <v>165</v>
      </c>
      <c r="H213" s="14">
        <f>IF(OR(F213="",G213="",AND(I213&lt;&gt;"W",I213&lt;&gt;"L")),"",IF(I213="W",IF(G213&gt;0,G213/100,1),IF(G213&lt;0,G213/100,-1)))</f>
        <v/>
      </c>
      <c r="I213" s="11" t="inlineStr">
        <is>
          <t>L</t>
        </is>
      </c>
      <c r="J213" s="10" t="inlineStr">
        <is>
          <t>NSH 3, NYR 6</t>
        </is>
      </c>
      <c r="K213" s="10" t="inlineStr">
        <is>
          <t>ESPN BET closing</t>
        </is>
      </c>
    </row>
    <row r="214">
      <c r="A214" s="9" t="n">
        <v>45971</v>
      </c>
      <c r="B214" s="10" t="inlineStr">
        <is>
          <t>CBJ @ EDM</t>
        </is>
      </c>
      <c r="C214" s="13" t="n">
        <v>71.69</v>
      </c>
      <c r="D214" s="13" t="n">
        <v>41.51</v>
      </c>
      <c r="E214" s="13">
        <f>IF(OR(C214="",D214=""),"",ABS(C214-D214))</f>
        <v/>
      </c>
      <c r="F214" s="11" t="inlineStr">
        <is>
          <t>CBJ</t>
        </is>
      </c>
      <c r="G214" s="12" t="n">
        <v>155</v>
      </c>
      <c r="H214" s="14">
        <f>IF(OR(F214="",G214="",AND(I214&lt;&gt;"W",I214&lt;&gt;"L")),"",IF(I214="W",IF(G214&gt;0,G214/100,1),IF(G214&lt;0,G214/100,-1)))</f>
        <v/>
      </c>
      <c r="I214" s="11" t="inlineStr">
        <is>
          <t>L</t>
        </is>
      </c>
      <c r="J214" s="10" t="inlineStr">
        <is>
          <t>CBJ 4, EDM 5</t>
        </is>
      </c>
      <c r="K214" s="10" t="inlineStr">
        <is>
          <t>ESPN BET closing</t>
        </is>
      </c>
    </row>
    <row r="215">
      <c r="A215" s="9" t="n">
        <v>45971</v>
      </c>
      <c r="B215" s="10" t="inlineStr">
        <is>
          <t>FLA @ VGK</t>
        </is>
      </c>
      <c r="C215" s="13" t="n">
        <v>78.41</v>
      </c>
      <c r="D215" s="13" t="n">
        <v>70.64</v>
      </c>
      <c r="E215" s="13">
        <f>IF(OR(C215="",D215=""),"",ABS(C215-D215))</f>
        <v/>
      </c>
      <c r="F215" s="11" t="inlineStr">
        <is>
          <t>FLA</t>
        </is>
      </c>
      <c r="G215" s="12" t="n">
        <v>110</v>
      </c>
      <c r="H215" s="14">
        <f>IF(OR(F215="",G215="",AND(I215&lt;&gt;"W",I215&lt;&gt;"L")),"",IF(I215="W",IF(G215&gt;0,G215/100,1),IF(G215&lt;0,G215/100,-1)))</f>
        <v/>
      </c>
      <c r="I215" s="11" t="inlineStr">
        <is>
          <t>W</t>
        </is>
      </c>
      <c r="J215" s="10" t="inlineStr">
        <is>
          <t>FLA 3, VGK 2</t>
        </is>
      </c>
      <c r="K215" s="10" t="inlineStr">
        <is>
          <t>ESPN BET closing</t>
        </is>
      </c>
    </row>
    <row r="216">
      <c r="A216" s="9" t="n">
        <v>45972</v>
      </c>
      <c r="B216" s="10" t="inlineStr">
        <is>
          <t>TOR @ BOS</t>
        </is>
      </c>
      <c r="C216" s="13" t="n">
        <v>50.28</v>
      </c>
      <c r="D216" s="13" t="n">
        <v>80.3</v>
      </c>
      <c r="E216" s="13">
        <f>IF(OR(C216="",D216=""),"",ABS(C216-D216))</f>
        <v/>
      </c>
      <c r="F216" s="11" t="inlineStr">
        <is>
          <t>BOS</t>
        </is>
      </c>
      <c r="G216" s="12" t="n">
        <v>115</v>
      </c>
      <c r="H216" s="14">
        <f>IF(OR(F216="",G216="",AND(I216&lt;&gt;"W",I216&lt;&gt;"L")),"",IF(I216="W",IF(G216&gt;0,G216/100,1),IF(G216&lt;0,G216/100,-1)))</f>
        <v/>
      </c>
      <c r="I216" s="11" t="inlineStr">
        <is>
          <t>W</t>
        </is>
      </c>
      <c r="J216" s="10" t="inlineStr">
        <is>
          <t>TOR 3, BOS 5</t>
        </is>
      </c>
      <c r="K216" s="10" t="inlineStr">
        <is>
          <t>ESPN BET closing</t>
        </is>
      </c>
    </row>
    <row r="217">
      <c r="A217" s="9" t="n">
        <v>45972</v>
      </c>
      <c r="B217" s="10" t="inlineStr">
        <is>
          <t>LAK @ MTL</t>
        </is>
      </c>
      <c r="C217" s="13" t="n">
        <v>72.06</v>
      </c>
      <c r="D217" s="13" t="n">
        <v>79.64</v>
      </c>
      <c r="E217" s="13">
        <f>IF(OR(C217="",D217=""),"",ABS(C217-D217))</f>
        <v/>
      </c>
      <c r="F217" s="11" t="inlineStr">
        <is>
          <t>MTL</t>
        </is>
      </c>
      <c r="G217" s="12" t="n">
        <v>105</v>
      </c>
      <c r="H217" s="14">
        <f>IF(OR(F217="",G217="",AND(I217&lt;&gt;"W",I217&lt;&gt;"L")),"",IF(I217="W",IF(G217&gt;0,G217/100,1),IF(G217&lt;0,G217/100,-1)))</f>
        <v/>
      </c>
      <c r="I217" s="11" t="inlineStr">
        <is>
          <t>L</t>
        </is>
      </c>
      <c r="J217" s="10" t="inlineStr">
        <is>
          <t>LAK 5, MTL 1</t>
        </is>
      </c>
      <c r="K217" s="10" t="inlineStr">
        <is>
          <t>ESPN BET closing</t>
        </is>
      </c>
    </row>
    <row r="218">
      <c r="A218" s="9" t="n">
        <v>45972</v>
      </c>
      <c r="B218" s="10" t="inlineStr">
        <is>
          <t>DAL @ OTT</t>
        </is>
      </c>
      <c r="C218" s="13" t="n">
        <v>72.92</v>
      </c>
      <c r="D218" s="13" t="n">
        <v>74.34</v>
      </c>
      <c r="E218" s="13">
        <f>IF(OR(C218="",D218=""),"",ABS(C218-D218))</f>
        <v/>
      </c>
      <c r="F218" s="11" t="inlineStr">
        <is>
          <t>OTT</t>
        </is>
      </c>
      <c r="G218" s="12" t="n">
        <v>-120</v>
      </c>
      <c r="H218" s="14">
        <f>IF(OR(F218="",G218="",AND(I218&lt;&gt;"W",I218&lt;&gt;"L")),"",IF(I218="W",IF(G218&gt;0,G218/100,1),IF(G218&lt;0,G218/100,-1)))</f>
        <v/>
      </c>
      <c r="I218" s="11" t="inlineStr">
        <is>
          <t>L</t>
        </is>
      </c>
      <c r="J218" s="10" t="inlineStr">
        <is>
          <t>DAL 3, OTT 2</t>
        </is>
      </c>
      <c r="K218" s="10" t="inlineStr">
        <is>
          <t>ESPN BET closing</t>
        </is>
      </c>
    </row>
    <row r="219">
      <c r="A219" s="9" t="n">
        <v>45972</v>
      </c>
      <c r="B219" s="10" t="inlineStr">
        <is>
          <t>WSH @ CAR</t>
        </is>
      </c>
      <c r="C219" s="13" t="n">
        <v>70.98999999999999</v>
      </c>
      <c r="D219" s="13" t="n">
        <v>89.72</v>
      </c>
      <c r="E219" s="13">
        <f>IF(OR(C219="",D219=""),"",ABS(C219-D219))</f>
        <v/>
      </c>
      <c r="F219" s="11" t="inlineStr">
        <is>
          <t>CAR</t>
        </is>
      </c>
      <c r="G219" s="12" t="n">
        <v>-145</v>
      </c>
      <c r="H219" s="14">
        <f>IF(OR(F219="",G219="",AND(I219&lt;&gt;"W",I219&lt;&gt;"L")),"",IF(I219="W",IF(G219&gt;0,G219/100,1),IF(G219&lt;0,G219/100,-1)))</f>
        <v/>
      </c>
      <c r="I219" s="11" t="inlineStr">
        <is>
          <t>L</t>
        </is>
      </c>
      <c r="J219" s="10" t="inlineStr">
        <is>
          <t>WSH 4, CAR 1</t>
        </is>
      </c>
      <c r="K219" s="10" t="inlineStr">
        <is>
          <t>ESPN BET closing</t>
        </is>
      </c>
    </row>
    <row r="220">
      <c r="A220" s="9" t="n">
        <v>45972</v>
      </c>
      <c r="B220" s="10" t="inlineStr">
        <is>
          <t>CGY @ STL</t>
        </is>
      </c>
      <c r="C220" s="13" t="n">
        <v>77.14</v>
      </c>
      <c r="D220" s="13" t="n">
        <v>62.85</v>
      </c>
      <c r="E220" s="13">
        <f>IF(OR(C220="",D220=""),"",ABS(C220-D220))</f>
        <v/>
      </c>
      <c r="F220" s="11" t="inlineStr">
        <is>
          <t>CGY</t>
        </is>
      </c>
      <c r="G220" s="12" t="n">
        <v>115</v>
      </c>
      <c r="H220" s="14">
        <f>IF(OR(F220="",G220="",AND(I220&lt;&gt;"W",I220&lt;&gt;"L")),"",IF(I220="W",IF(G220&gt;0,G220/100,1),IF(G220&lt;0,G220/100,-1)))</f>
        <v/>
      </c>
      <c r="I220" s="11" t="inlineStr">
        <is>
          <t>L</t>
        </is>
      </c>
      <c r="J220" s="10" t="inlineStr">
        <is>
          <t>CGY 2, STL 3</t>
        </is>
      </c>
      <c r="K220" s="10" t="inlineStr">
        <is>
          <t>ESPN BET closing</t>
        </is>
      </c>
    </row>
    <row r="221">
      <c r="A221" s="9" t="n">
        <v>45972</v>
      </c>
      <c r="B221" s="10" t="inlineStr">
        <is>
          <t>SJS @ MIN</t>
        </is>
      </c>
      <c r="C221" s="13" t="n">
        <v>61.59</v>
      </c>
      <c r="D221" s="13" t="n">
        <v>62.86</v>
      </c>
      <c r="E221" s="13">
        <f>IF(OR(C221="",D221=""),"",ABS(C221-D221))</f>
        <v/>
      </c>
      <c r="F221" s="11" t="inlineStr">
        <is>
          <t>MIN</t>
        </is>
      </c>
      <c r="G221" s="12" t="n">
        <v>-200</v>
      </c>
      <c r="H221" s="14">
        <f>IF(OR(F221="",G221="",AND(I221&lt;&gt;"W",I221&lt;&gt;"L")),"",IF(I221="W",IF(G221&gt;0,G221/100,1),IF(G221&lt;0,G221/100,-1)))</f>
        <v/>
      </c>
      <c r="I221" s="11" t="inlineStr">
        <is>
          <t>L</t>
        </is>
      </c>
      <c r="J221" s="10" t="inlineStr">
        <is>
          <t>SJS 2, MIN 1</t>
        </is>
      </c>
      <c r="K221" s="10" t="inlineStr">
        <is>
          <t>ESPN BET closing</t>
        </is>
      </c>
    </row>
    <row r="222">
      <c r="A222" s="9" t="n">
        <v>45972</v>
      </c>
      <c r="B222" s="10" t="inlineStr">
        <is>
          <t>ANA @ COL</t>
        </is>
      </c>
      <c r="C222" s="13" t="n">
        <v>81.54000000000001</v>
      </c>
      <c r="D222" s="13" t="n">
        <v>75.64</v>
      </c>
      <c r="E222" s="13">
        <f>IF(OR(C222="",D222=""),"",ABS(C222-D222))</f>
        <v/>
      </c>
      <c r="F222" s="11" t="inlineStr">
        <is>
          <t>ANA</t>
        </is>
      </c>
      <c r="G222" s="12" t="n">
        <v>200</v>
      </c>
      <c r="H222" s="14">
        <f>IF(OR(F222="",G222="",AND(I222&lt;&gt;"W",I222&lt;&gt;"L")),"",IF(I222="W",IF(G222&gt;0,G222/100,1),IF(G222&lt;0,G222/100,-1)))</f>
        <v/>
      </c>
      <c r="I222" s="11" t="inlineStr">
        <is>
          <t>L</t>
        </is>
      </c>
      <c r="J222" s="10" t="inlineStr">
        <is>
          <t>ANA 1, COL 4</t>
        </is>
      </c>
      <c r="K222" s="10" t="inlineStr">
        <is>
          <t>ESPN BET closing</t>
        </is>
      </c>
    </row>
    <row r="223">
      <c r="A223" s="9" t="n">
        <v>45972</v>
      </c>
      <c r="B223" s="10" t="inlineStr">
        <is>
          <t>WPG @ VAN</t>
        </is>
      </c>
      <c r="C223" s="13" t="n">
        <v>58.46</v>
      </c>
      <c r="D223" s="13" t="n">
        <v>64.36</v>
      </c>
      <c r="E223" s="13">
        <f>IF(OR(C223="",D223=""),"",ABS(C223-D223))</f>
        <v/>
      </c>
      <c r="F223" s="11" t="inlineStr">
        <is>
          <t>VAN</t>
        </is>
      </c>
      <c r="G223" s="12" t="n">
        <v>100</v>
      </c>
      <c r="H223" s="14">
        <f>IF(OR(F223="",G223="",AND(I223&lt;&gt;"W",I223&lt;&gt;"L")),"",IF(I223="W",IF(G223&gt;0,G223/100,1),IF(G223&lt;0,G223/100,-1)))</f>
        <v/>
      </c>
      <c r="I223" s="11" t="inlineStr">
        <is>
          <t>L</t>
        </is>
      </c>
      <c r="J223" s="10" t="inlineStr">
        <is>
          <t>WPG 5, VAN 3</t>
        </is>
      </c>
      <c r="K223" s="10" t="inlineStr">
        <is>
          <t>ESPN BET closing</t>
        </is>
      </c>
    </row>
    <row r="224">
      <c r="A224" s="9" t="n">
        <v>45972</v>
      </c>
      <c r="B224" s="10" t="inlineStr">
        <is>
          <t>CBJ @ SEA</t>
        </is>
      </c>
      <c r="C224" s="13" t="n">
        <v>73.98999999999999</v>
      </c>
      <c r="D224" s="13" t="n">
        <v>67.08</v>
      </c>
      <c r="E224" s="13">
        <f>IF(OR(C224="",D224=""),"",ABS(C224-D224))</f>
        <v/>
      </c>
      <c r="F224" s="11" t="inlineStr">
        <is>
          <t>CBJ</t>
        </is>
      </c>
      <c r="G224" s="12" t="n">
        <v>100</v>
      </c>
      <c r="H224" s="14">
        <f>IF(OR(F224="",G224="",AND(I224&lt;&gt;"W",I224&lt;&gt;"L")),"",IF(I224="W",IF(G224&gt;0,G224/100,1),IF(G224&lt;0,G224/100,-1)))</f>
        <v/>
      </c>
      <c r="I224" s="11" t="inlineStr">
        <is>
          <t>W</t>
        </is>
      </c>
      <c r="J224" s="10" t="inlineStr">
        <is>
          <t>CBJ 2, SEA 1</t>
        </is>
      </c>
      <c r="K224" s="10" t="inlineStr">
        <is>
          <t>ESPN BET closing</t>
        </is>
      </c>
    </row>
    <row r="225">
      <c r="A225" s="9" t="n">
        <v>45973</v>
      </c>
      <c r="B225" s="10" t="inlineStr">
        <is>
          <t>NYR @ TBL</t>
        </is>
      </c>
      <c r="C225" s="13" t="n">
        <v>74.97</v>
      </c>
      <c r="D225" s="13" t="n">
        <v>69.01000000000001</v>
      </c>
      <c r="E225" s="13">
        <f>IF(OR(C225="",D225=""),"",ABS(C225-D225))</f>
        <v/>
      </c>
      <c r="F225" s="11" t="inlineStr">
        <is>
          <t>NYR</t>
        </is>
      </c>
      <c r="G225" s="12" t="n">
        <v>110</v>
      </c>
      <c r="H225" s="14">
        <f>IF(OR(F225="",G225="",AND(I225&lt;&gt;"W",I225&lt;&gt;"L")),"",IF(I225="W",IF(G225&gt;0,G225/100,1),IF(G225&lt;0,G225/100,-1)))</f>
        <v/>
      </c>
      <c r="I225" s="11" t="inlineStr">
        <is>
          <t>W</t>
        </is>
      </c>
      <c r="J225" s="10" t="inlineStr">
        <is>
          <t>NYR 7, TBL 3</t>
        </is>
      </c>
      <c r="K225" s="10" t="inlineStr">
        <is>
          <t>ESPN BET closing</t>
        </is>
      </c>
    </row>
    <row r="226">
      <c r="A226" s="9" t="n">
        <v>45973</v>
      </c>
      <c r="B226" s="10" t="inlineStr">
        <is>
          <t>EDM @ PHI</t>
        </is>
      </c>
      <c r="C226" s="13" t="n">
        <v>66.01000000000001</v>
      </c>
      <c r="D226" s="13" t="n">
        <v>70.41</v>
      </c>
      <c r="E226" s="13">
        <f>IF(OR(C226="",D226=""),"",ABS(C226-D226))</f>
        <v/>
      </c>
      <c r="F226" s="11" t="inlineStr">
        <is>
          <t>PHI</t>
        </is>
      </c>
      <c r="G226" s="12" t="n">
        <v>-105</v>
      </c>
      <c r="H226" s="14">
        <f>IF(OR(F226="",G226="",AND(I226&lt;&gt;"W",I226&lt;&gt;"L")),"",IF(I226="W",IF(G226&gt;0,G226/100,1),IF(G226&lt;0,G226/100,-1)))</f>
        <v/>
      </c>
      <c r="I226" s="11" t="inlineStr">
        <is>
          <t>L</t>
        </is>
      </c>
      <c r="J226" s="10" t="inlineStr">
        <is>
          <t>EDM 2, PHI 1</t>
        </is>
      </c>
      <c r="K226" s="10" t="inlineStr">
        <is>
          <t>ESPN BET closing</t>
        </is>
      </c>
    </row>
    <row r="227">
      <c r="A227" s="9" t="n">
        <v>45973</v>
      </c>
      <c r="B227" s="10" t="inlineStr">
        <is>
          <t>BUF @ UTA</t>
        </is>
      </c>
      <c r="C227" s="13" t="n">
        <v>60.37</v>
      </c>
      <c r="D227" s="13" t="n">
        <v>65.66</v>
      </c>
      <c r="E227" s="13">
        <f>IF(OR(C227="",D227=""),"",ABS(C227-D227))</f>
        <v/>
      </c>
      <c r="F227" s="11" t="inlineStr">
        <is>
          <t>UTA</t>
        </is>
      </c>
      <c r="G227" s="12" t="n">
        <v>-195</v>
      </c>
      <c r="H227" s="14">
        <f>IF(OR(F227="",G227="",AND(I227&lt;&gt;"W",I227&lt;&gt;"L")),"",IF(I227="W",IF(G227&gt;0,G227/100,1),IF(G227&lt;0,G227/100,-1)))</f>
        <v/>
      </c>
      <c r="I227" s="11" t="inlineStr">
        <is>
          <t>W</t>
        </is>
      </c>
      <c r="J227" s="10" t="inlineStr">
        <is>
          <t>BUF 2, UTA 5</t>
        </is>
      </c>
      <c r="K227" s="10" t="inlineStr">
        <is>
          <t>ESPN BET closing</t>
        </is>
      </c>
    </row>
    <row r="228">
      <c r="A228" s="9" t="n">
        <v>45973</v>
      </c>
      <c r="B228" s="10" t="inlineStr">
        <is>
          <t>NJD @ CHI</t>
        </is>
      </c>
      <c r="C228" s="13" t="n">
        <v>76.38</v>
      </c>
      <c r="D228" s="13" t="n">
        <v>63.61</v>
      </c>
      <c r="E228" s="13">
        <f>IF(OR(C228="",D228=""),"",ABS(C228-D228))</f>
        <v/>
      </c>
      <c r="F228" s="11" t="inlineStr">
        <is>
          <t>NJD</t>
        </is>
      </c>
      <c r="G228" s="12" t="n">
        <v>-135</v>
      </c>
      <c r="H228" s="14">
        <f>IF(OR(F228="",G228="",AND(I228&lt;&gt;"W",I228&lt;&gt;"L")),"",IF(I228="W",IF(G228&gt;0,G228/100,1),IF(G228&lt;0,G228/100,-1)))</f>
        <v/>
      </c>
      <c r="I228" s="11" t="inlineStr">
        <is>
          <t>W</t>
        </is>
      </c>
      <c r="J228" s="10" t="inlineStr">
        <is>
          <t>NJD 4, CHI 3</t>
        </is>
      </c>
      <c r="K228" s="10" t="inlineStr">
        <is>
          <t>ESPN BET closing</t>
        </is>
      </c>
    </row>
    <row r="229">
      <c r="A229" s="9" t="n">
        <v>45974</v>
      </c>
      <c r="B229" s="10" t="inlineStr">
        <is>
          <t>LAK @ TOR</t>
        </is>
      </c>
      <c r="C229" s="13" t="n">
        <v>84.18000000000001</v>
      </c>
      <c r="D229" s="13" t="n">
        <v>61.19</v>
      </c>
      <c r="E229" s="13">
        <f>IF(OR(C229="",D229=""),"",ABS(C229-D229))</f>
        <v/>
      </c>
      <c r="F229" s="11" t="inlineStr">
        <is>
          <t>LAK</t>
        </is>
      </c>
      <c r="G229" s="12" t="n">
        <v>-135</v>
      </c>
      <c r="H229" s="14">
        <f>IF(OR(F229="",G229="",AND(I229&lt;&gt;"W",I229&lt;&gt;"L")),"",IF(I229="W",IF(G229&gt;0,G229/100,1),IF(G229&lt;0,G229/100,-1)))</f>
        <v/>
      </c>
      <c r="I229" s="11" t="inlineStr">
        <is>
          <t>W</t>
        </is>
      </c>
      <c r="J229" s="10" t="inlineStr">
        <is>
          <t>LAK 4, TOR 3</t>
        </is>
      </c>
      <c r="K229" s="10" t="inlineStr">
        <is>
          <t>ESPN BET closing</t>
        </is>
      </c>
    </row>
    <row r="230">
      <c r="A230" s="9" t="n">
        <v>45974</v>
      </c>
      <c r="B230" s="10" t="inlineStr">
        <is>
          <t>DAL @ MTL</t>
        </is>
      </c>
      <c r="C230" s="13" t="n">
        <v>71.93000000000001</v>
      </c>
      <c r="D230" s="13" t="n">
        <v>55.82</v>
      </c>
      <c r="E230" s="13">
        <f>IF(OR(C230="",D230=""),"",ABS(C230-D230))</f>
        <v/>
      </c>
      <c r="F230" s="11" t="inlineStr">
        <is>
          <t>DAL</t>
        </is>
      </c>
      <c r="G230" s="12" t="n">
        <v>100</v>
      </c>
      <c r="H230" s="14">
        <f>IF(OR(F230="",G230="",AND(I230&lt;&gt;"W",I230&lt;&gt;"L")),"",IF(I230="W",IF(G230&gt;0,G230/100,1),IF(G230&lt;0,G230/100,-1)))</f>
        <v/>
      </c>
      <c r="I230" s="11" t="inlineStr">
        <is>
          <t>W</t>
        </is>
      </c>
      <c r="J230" s="10" t="inlineStr">
        <is>
          <t>DAL 7, MTL 0</t>
        </is>
      </c>
      <c r="K230" s="10" t="inlineStr">
        <is>
          <t>ESPN BET closing</t>
        </is>
      </c>
    </row>
    <row r="231">
      <c r="A231" s="9" t="n">
        <v>45974</v>
      </c>
      <c r="B231" s="10" t="inlineStr">
        <is>
          <t>BOS @ OTT</t>
        </is>
      </c>
      <c r="C231" s="13" t="n">
        <v>78.81</v>
      </c>
      <c r="D231" s="13" t="n">
        <v>68.06999999999999</v>
      </c>
      <c r="E231" s="13">
        <f>IF(OR(C231="",D231=""),"",ABS(C231-D231))</f>
        <v/>
      </c>
      <c r="F231" s="11" t="inlineStr">
        <is>
          <t>BOS</t>
        </is>
      </c>
      <c r="G231" s="12" t="n">
        <v>135</v>
      </c>
      <c r="H231" s="14">
        <f>IF(OR(F231="",G231="",AND(I231&lt;&gt;"W",I231&lt;&gt;"L")),"",IF(I231="W",IF(G231&gt;0,G231/100,1),IF(G231&lt;0,G231/100,-1)))</f>
        <v/>
      </c>
      <c r="I231" s="11" t="inlineStr">
        <is>
          <t>L</t>
        </is>
      </c>
      <c r="J231" s="10" t="inlineStr">
        <is>
          <t>BOS 3, OTT 5</t>
        </is>
      </c>
      <c r="K231" s="10" t="inlineStr">
        <is>
          <t>ESPN BET closing</t>
        </is>
      </c>
    </row>
    <row r="232">
      <c r="A232" s="9" t="n">
        <v>45974</v>
      </c>
      <c r="B232" s="10" t="inlineStr">
        <is>
          <t>ANA @ DET</t>
        </is>
      </c>
      <c r="C232" s="13" t="n">
        <v>59.38</v>
      </c>
      <c r="D232" s="13" t="n">
        <v>76.39</v>
      </c>
      <c r="E232" s="13">
        <f>IF(OR(C232="",D232=""),"",ABS(C232-D232))</f>
        <v/>
      </c>
      <c r="F232" s="11" t="inlineStr">
        <is>
          <t>DET</t>
        </is>
      </c>
      <c r="G232" s="12" t="n">
        <v>-135</v>
      </c>
      <c r="H232" s="14">
        <f>IF(OR(F232="",G232="",AND(I232&lt;&gt;"W",I232&lt;&gt;"L")),"",IF(I232="W",IF(G232&gt;0,G232/100,1),IF(G232&lt;0,G232/100,-1)))</f>
        <v/>
      </c>
      <c r="I232" s="11" t="inlineStr">
        <is>
          <t>W</t>
        </is>
      </c>
      <c r="J232" s="10" t="inlineStr">
        <is>
          <t>ANA 3, DET 6</t>
        </is>
      </c>
      <c r="K232" s="10" t="inlineStr">
        <is>
          <t>ESPN BET closing</t>
        </is>
      </c>
    </row>
    <row r="233">
      <c r="A233" s="9" t="n">
        <v>45974</v>
      </c>
      <c r="B233" s="10" t="inlineStr">
        <is>
          <t>WSH @ FLA</t>
        </is>
      </c>
      <c r="C233" s="13" t="n">
        <v>69.59999999999999</v>
      </c>
      <c r="D233" s="13" t="n">
        <v>68.88</v>
      </c>
      <c r="E233" s="13">
        <f>IF(OR(C233="",D233=""),"",ABS(C233-D233))</f>
        <v/>
      </c>
      <c r="F233" s="11" t="inlineStr">
        <is>
          <t>WSH</t>
        </is>
      </c>
      <c r="G233" s="12" t="n">
        <v>100</v>
      </c>
      <c r="H233" s="14">
        <f>IF(OR(F233="",G233="",AND(I233&lt;&gt;"W",I233&lt;&gt;"L")),"",IF(I233="W",IF(G233&gt;0,G233/100,1),IF(G233&lt;0,G233/100,-1)))</f>
        <v/>
      </c>
      <c r="I233" s="11" t="inlineStr">
        <is>
          <t>L</t>
        </is>
      </c>
      <c r="J233" s="10" t="inlineStr">
        <is>
          <t>WSH 3, FLA 6</t>
        </is>
      </c>
      <c r="K233" s="10" t="inlineStr">
        <is>
          <t>ESPN BET closing</t>
        </is>
      </c>
    </row>
    <row r="234">
      <c r="A234" s="9" t="n">
        <v>45974</v>
      </c>
      <c r="B234" s="10" t="inlineStr">
        <is>
          <t>EDM @ CBJ</t>
        </is>
      </c>
      <c r="C234" s="13" t="n">
        <v>77.48</v>
      </c>
      <c r="D234" s="13" t="n">
        <v>69.3</v>
      </c>
      <c r="E234" s="13">
        <f>IF(OR(C234="",D234=""),"",ABS(C234-D234))</f>
        <v/>
      </c>
      <c r="F234" s="11" t="inlineStr">
        <is>
          <t>EDM</t>
        </is>
      </c>
      <c r="G234" s="12" t="n">
        <v>110</v>
      </c>
      <c r="H234" s="14">
        <f>IF(OR(F234="",G234="",AND(I234&lt;&gt;"W",I234&lt;&gt;"L")),"",IF(I234="W",IF(G234&gt;0,G234/100,1),IF(G234&lt;0,G234/100,-1)))</f>
        <v/>
      </c>
      <c r="I234" s="11" t="inlineStr">
        <is>
          <t>L</t>
        </is>
      </c>
      <c r="J234" s="10" t="inlineStr">
        <is>
          <t>EDM 4, CBJ 5</t>
        </is>
      </c>
      <c r="K234" s="10" t="inlineStr">
        <is>
          <t>ESPN BET closing</t>
        </is>
      </c>
    </row>
    <row r="235">
      <c r="A235" s="9" t="n">
        <v>45974</v>
      </c>
      <c r="B235" s="10" t="inlineStr">
        <is>
          <t>BUF @ COL</t>
        </is>
      </c>
      <c r="C235" s="13" t="n">
        <v>57.98</v>
      </c>
      <c r="D235" s="13" t="n">
        <v>80.62</v>
      </c>
      <c r="E235" s="13">
        <f>IF(OR(C235="",D235=""),"",ABS(C235-D235))</f>
        <v/>
      </c>
      <c r="F235" s="11" t="inlineStr">
        <is>
          <t>COL</t>
        </is>
      </c>
      <c r="G235" s="12" t="n">
        <v>-400</v>
      </c>
      <c r="H235" s="14">
        <f>IF(OR(F235="",G235="",AND(I235&lt;&gt;"W",I235&lt;&gt;"L")),"",IF(I235="W",IF(G235&gt;0,G235/100,1),IF(G235&lt;0,G235/100,-1)))</f>
        <v/>
      </c>
      <c r="I235" s="11" t="inlineStr">
        <is>
          <t>W</t>
        </is>
      </c>
      <c r="J235" s="10" t="inlineStr">
        <is>
          <t>BUF 3, COL 6</t>
        </is>
      </c>
      <c r="K235" s="10" t="inlineStr">
        <is>
          <t>ESPN BET closing</t>
        </is>
      </c>
    </row>
    <row r="236">
      <c r="A236" s="9" t="n">
        <v>45974</v>
      </c>
      <c r="B236" s="10" t="inlineStr">
        <is>
          <t>SJS @ CGY</t>
        </is>
      </c>
      <c r="C236" s="13" t="n">
        <v>70.05</v>
      </c>
      <c r="D236" s="13" t="n">
        <v>71.01000000000001</v>
      </c>
      <c r="E236" s="13">
        <f>IF(OR(C236="",D236=""),"",ABS(C236-D236))</f>
        <v/>
      </c>
      <c r="F236" s="11" t="inlineStr">
        <is>
          <t>CGY</t>
        </is>
      </c>
      <c r="G236" s="12" t="n">
        <v>-160</v>
      </c>
      <c r="H236" s="14">
        <f>IF(OR(F236="",G236="",AND(I236&lt;&gt;"W",I236&lt;&gt;"L")),"",IF(I236="W",IF(G236&gt;0,G236/100,1),IF(G236&lt;0,G236/100,-1)))</f>
        <v/>
      </c>
      <c r="I236" s="11" t="inlineStr">
        <is>
          <t>W</t>
        </is>
      </c>
      <c r="J236" s="10" t="inlineStr">
        <is>
          <t>SJS 0, CGY 2</t>
        </is>
      </c>
      <c r="K236" s="10" t="inlineStr">
        <is>
          <t>ESPN BET closing</t>
        </is>
      </c>
    </row>
    <row r="237">
      <c r="A237" s="9" t="n">
        <v>45974</v>
      </c>
      <c r="B237" s="10" t="inlineStr">
        <is>
          <t>NYI @ VGK</t>
        </is>
      </c>
      <c r="C237" s="13" t="n">
        <v>63.62</v>
      </c>
      <c r="D237" s="13" t="n">
        <v>71.12</v>
      </c>
      <c r="E237" s="13">
        <f>IF(OR(C237="",D237=""),"",ABS(C237-D237))</f>
        <v/>
      </c>
      <c r="F237" s="11" t="inlineStr">
        <is>
          <t>VGK</t>
        </is>
      </c>
      <c r="G237" s="12" t="n">
        <v>-190</v>
      </c>
      <c r="H237" s="14">
        <f>IF(OR(F237="",G237="",AND(I237&lt;&gt;"W",I237&lt;&gt;"L")),"",IF(I237="W",IF(G237&gt;0,G237/100,1),IF(G237&lt;0,G237/100,-1)))</f>
        <v/>
      </c>
      <c r="I237" s="11" t="inlineStr">
        <is>
          <t>L</t>
        </is>
      </c>
      <c r="J237" s="10" t="inlineStr">
        <is>
          <t>NYI 4, VGK 3</t>
        </is>
      </c>
      <c r="K237" s="10" t="inlineStr">
        <is>
          <t>ESPN BET closing</t>
        </is>
      </c>
    </row>
    <row r="238">
      <c r="A238" s="9" t="n">
        <v>45974</v>
      </c>
      <c r="B238" s="10" t="inlineStr">
        <is>
          <t>WPG @ SEA</t>
        </is>
      </c>
      <c r="C238" s="13" t="n">
        <v>71.23</v>
      </c>
      <c r="D238" s="13" t="n">
        <v>70.7</v>
      </c>
      <c r="E238" s="13">
        <f>IF(OR(C238="",D238=""),"",ABS(C238-D238))</f>
        <v/>
      </c>
      <c r="F238" s="11" t="inlineStr">
        <is>
          <t>WPG</t>
        </is>
      </c>
      <c r="G238" s="12" t="n">
        <v>-145</v>
      </c>
      <c r="H238" s="14">
        <f>IF(OR(F238="",G238="",AND(I238&lt;&gt;"W",I238&lt;&gt;"L")),"",IF(I238="W",IF(G238&gt;0,G238/100,1),IF(G238&lt;0,G238/100,-1)))</f>
        <v/>
      </c>
      <c r="I238" s="11" t="inlineStr">
        <is>
          <t>L</t>
        </is>
      </c>
      <c r="J238" s="10" t="inlineStr">
        <is>
          <t>WPG 3, SEA 5</t>
        </is>
      </c>
      <c r="K238" s="10" t="inlineStr">
        <is>
          <t>ESPN BET closing</t>
        </is>
      </c>
    </row>
    <row r="239">
      <c r="A239" s="9" t="n">
        <v>45975</v>
      </c>
      <c r="B239" s="10" t="inlineStr">
        <is>
          <t>PIT @ NSH</t>
        </is>
      </c>
      <c r="C239" s="13" t="n">
        <v>67.94</v>
      </c>
      <c r="D239" s="13" t="n">
        <v>65.03</v>
      </c>
      <c r="E239" s="13">
        <f>IF(OR(C239="",D239=""),"",ABS(C239-D239))</f>
        <v/>
      </c>
      <c r="F239" s="11" t="inlineStr">
        <is>
          <t>PIT</t>
        </is>
      </c>
      <c r="G239" s="12" t="n">
        <v>-135</v>
      </c>
      <c r="H239" s="14">
        <f>IF(OR(F239="",G239="",AND(I239&lt;&gt;"W",I239&lt;&gt;"L")),"",IF(I239="W",IF(G239&gt;0,G239/100,1),IF(G239&lt;0,G239/100,-1)))</f>
        <v/>
      </c>
      <c r="I239" s="11" t="inlineStr">
        <is>
          <t>L</t>
        </is>
      </c>
      <c r="J239" s="10" t="inlineStr">
        <is>
          <t>PIT 1, NSH 2</t>
        </is>
      </c>
      <c r="K239" s="10" t="inlineStr">
        <is>
          <t>ESPN BET closing</t>
        </is>
      </c>
    </row>
    <row r="240">
      <c r="A240" s="9" t="n">
        <v>45975</v>
      </c>
      <c r="B240" s="10" t="inlineStr">
        <is>
          <t>VAN @ CAR</t>
        </is>
      </c>
      <c r="C240" s="13" t="n">
        <v>68.77</v>
      </c>
      <c r="D240" s="13" t="n">
        <v>70.40000000000001</v>
      </c>
      <c r="E240" s="13">
        <f>IF(OR(C240="",D240=""),"",ABS(C240-D240))</f>
        <v/>
      </c>
      <c r="F240" s="11" t="inlineStr">
        <is>
          <t>CAR</t>
        </is>
      </c>
      <c r="G240" s="12" t="n">
        <v>-290</v>
      </c>
      <c r="H240" s="14">
        <f>IF(OR(F240="",G240="",AND(I240&lt;&gt;"W",I240&lt;&gt;"L")),"",IF(I240="W",IF(G240&gt;0,G240/100,1),IF(G240&lt;0,G240/100,-1)))</f>
        <v/>
      </c>
      <c r="I240" s="11" t="inlineStr">
        <is>
          <t>W</t>
        </is>
      </c>
      <c r="J240" s="10" t="inlineStr">
        <is>
          <t>VAN 3, CAR 4</t>
        </is>
      </c>
      <c r="K240" s="10" t="inlineStr">
        <is>
          <t>ESPN BET closing</t>
        </is>
      </c>
    </row>
    <row r="241">
      <c r="A241" s="9" t="n">
        <v>45975</v>
      </c>
      <c r="B241" s="10" t="inlineStr">
        <is>
          <t>PHI @ STL</t>
        </is>
      </c>
      <c r="C241" s="13" t="n">
        <v>62.52</v>
      </c>
      <c r="D241" s="13" t="n">
        <v>68.98999999999999</v>
      </c>
      <c r="E241" s="13">
        <f>IF(OR(C241="",D241=""),"",ABS(C241-D241))</f>
        <v/>
      </c>
      <c r="F241" s="11" t="inlineStr">
        <is>
          <t>STL</t>
        </is>
      </c>
      <c r="G241" s="12" t="n">
        <v>-140</v>
      </c>
      <c r="H241" s="14">
        <f>IF(OR(F241="",G241="",AND(I241&lt;&gt;"W",I241&lt;&gt;"L")),"",IF(I241="W",IF(G241&gt;0,G241/100,1),IF(G241&lt;0,G241/100,-1)))</f>
        <v/>
      </c>
      <c r="I241" s="11" t="inlineStr">
        <is>
          <t>L</t>
        </is>
      </c>
      <c r="J241" s="10" t="inlineStr">
        <is>
          <t>PHI 6, STL 5</t>
        </is>
      </c>
      <c r="K241" s="10" t="inlineStr">
        <is>
          <t>ESPN BET closing</t>
        </is>
      </c>
    </row>
    <row r="242">
      <c r="A242" s="9" t="n">
        <v>45975</v>
      </c>
      <c r="B242" s="10" t="inlineStr">
        <is>
          <t>NYI @ UTA</t>
        </is>
      </c>
      <c r="C242" s="13" t="n">
        <v>67.36</v>
      </c>
      <c r="D242" s="13" t="n">
        <v>82.02</v>
      </c>
      <c r="E242" s="13">
        <f>IF(OR(C242="",D242=""),"",ABS(C242-D242))</f>
        <v/>
      </c>
      <c r="F242" s="11" t="inlineStr">
        <is>
          <t>UTA</t>
        </is>
      </c>
      <c r="G242" s="12" t="n">
        <v>-215</v>
      </c>
      <c r="H242" s="14">
        <f>IF(OR(F242="",G242="",AND(I242&lt;&gt;"W",I242&lt;&gt;"L")),"",IF(I242="W",IF(G242&gt;0,G242/100,1),IF(G242&lt;0,G242/100,-1)))</f>
        <v/>
      </c>
      <c r="I242" s="11" t="inlineStr">
        <is>
          <t>L</t>
        </is>
      </c>
      <c r="J242" s="10" t="inlineStr">
        <is>
          <t>NYI 3, UTA 2</t>
        </is>
      </c>
      <c r="K242" s="10" t="inlineStr">
        <is>
          <t>ESPN BET closing</t>
        </is>
      </c>
    </row>
    <row r="243">
      <c r="A243" s="9" t="n">
        <v>45976</v>
      </c>
      <c r="B243" s="10" t="inlineStr">
        <is>
          <t>TBL @ FLA</t>
        </is>
      </c>
      <c r="C243" s="13" t="n">
        <v>66.56</v>
      </c>
      <c r="D243" s="13" t="n">
        <v>67.56999999999999</v>
      </c>
      <c r="E243" s="13">
        <f>IF(OR(C243="",D243=""),"",ABS(C243-D243))</f>
        <v/>
      </c>
      <c r="F243" s="11" t="inlineStr">
        <is>
          <t>FLA</t>
        </is>
      </c>
      <c r="G243" s="12" t="n">
        <v>-145</v>
      </c>
      <c r="H243" s="14">
        <f>IF(OR(F243="",G243="",AND(I243&lt;&gt;"W",I243&lt;&gt;"L")),"",IF(I243="W",IF(G243&gt;0,G243/100,1),IF(G243&lt;0,G243/100,-1)))</f>
        <v/>
      </c>
      <c r="I243" s="11" t="inlineStr">
        <is>
          <t>L</t>
        </is>
      </c>
      <c r="J243" s="10" t="inlineStr">
        <is>
          <t>TBL 3, FLA 1</t>
        </is>
      </c>
      <c r="K243" s="10" t="inlineStr">
        <is>
          <t>ESPN BET closing</t>
        </is>
      </c>
    </row>
    <row r="244">
      <c r="A244" s="9" t="n">
        <v>45976</v>
      </c>
      <c r="B244" s="10" t="inlineStr">
        <is>
          <t>ANA @ MIN</t>
        </is>
      </c>
      <c r="C244" s="13" t="n">
        <v>64.37</v>
      </c>
      <c r="D244" s="13" t="n">
        <v>69.95</v>
      </c>
      <c r="E244" s="13">
        <f>IF(OR(C244="",D244=""),"",ABS(C244-D244))</f>
        <v/>
      </c>
      <c r="F244" s="11" t="inlineStr">
        <is>
          <t>MIN</t>
        </is>
      </c>
      <c r="G244" s="12" t="n">
        <v>-120</v>
      </c>
      <c r="H244" s="14">
        <f>IF(OR(F244="",G244="",AND(I244&lt;&gt;"W",I244&lt;&gt;"L")),"",IF(I244="W",IF(G244&gt;0,G244/100,1),IF(G244&lt;0,G244/100,-1)))</f>
        <v/>
      </c>
      <c r="I244" s="11" t="inlineStr">
        <is>
          <t>W</t>
        </is>
      </c>
      <c r="J244" s="10" t="inlineStr">
        <is>
          <t>ANA 0, MIN 2</t>
        </is>
      </c>
      <c r="K244" s="10" t="inlineStr">
        <is>
          <t>ESPN BET closing</t>
        </is>
      </c>
    </row>
    <row r="245">
      <c r="A245" s="9" t="n">
        <v>45976</v>
      </c>
      <c r="B245" s="10" t="inlineStr">
        <is>
          <t>BOS @ MTL</t>
        </is>
      </c>
      <c r="C245" s="13" t="n">
        <v>65.59</v>
      </c>
      <c r="D245" s="13" t="n">
        <v>51.95</v>
      </c>
      <c r="E245" s="13">
        <f>IF(OR(C245="",D245=""),"",ABS(C245-D245))</f>
        <v/>
      </c>
      <c r="F245" s="11" t="inlineStr">
        <is>
          <t>BOS</t>
        </is>
      </c>
      <c r="G245" s="12" t="n">
        <v>135</v>
      </c>
      <c r="H245" s="14">
        <f>IF(OR(F245="",G245="",AND(I245&lt;&gt;"W",I245&lt;&gt;"L")),"",IF(I245="W",IF(G245&gt;0,G245/100,1),IF(G245&lt;0,G245/100,-1)))</f>
        <v/>
      </c>
      <c r="I245" s="11" t="inlineStr">
        <is>
          <t>W</t>
        </is>
      </c>
      <c r="J245" s="10" t="inlineStr">
        <is>
          <t>BOS 3, MTL 2</t>
        </is>
      </c>
      <c r="K245" s="10" t="inlineStr">
        <is>
          <t>ESPN BET closing</t>
        </is>
      </c>
    </row>
    <row r="246">
      <c r="A246" s="9" t="n">
        <v>45976</v>
      </c>
      <c r="B246" s="10" t="inlineStr">
        <is>
          <t>LAK @ OTT</t>
        </is>
      </c>
      <c r="C246" s="13" t="n">
        <v>87.14</v>
      </c>
      <c r="D246" s="13" t="n">
        <v>74.41</v>
      </c>
      <c r="E246" s="13">
        <f>IF(OR(C246="",D246=""),"",ABS(C246-D246))</f>
        <v/>
      </c>
      <c r="F246" s="11" t="inlineStr">
        <is>
          <t>LAK</t>
        </is>
      </c>
      <c r="G246" s="12" t="n">
        <v>-110</v>
      </c>
      <c r="H246" s="14">
        <f>IF(OR(F246="",G246="",AND(I246&lt;&gt;"W",I246&lt;&gt;"L")),"",IF(I246="W",IF(G246&gt;0,G246/100,1),IF(G246&lt;0,G246/100,-1)))</f>
        <v/>
      </c>
      <c r="I246" s="11" t="inlineStr">
        <is>
          <t>W</t>
        </is>
      </c>
      <c r="J246" s="10" t="inlineStr">
        <is>
          <t>LAK 1, OTT 0</t>
        </is>
      </c>
      <c r="K246" s="10" t="inlineStr">
        <is>
          <t>ESPN BET closing</t>
        </is>
      </c>
    </row>
    <row r="247">
      <c r="A247" s="9" t="n">
        <v>45976</v>
      </c>
      <c r="B247" s="10" t="inlineStr">
        <is>
          <t>BUF @ DET</t>
        </is>
      </c>
      <c r="C247" s="13" t="n">
        <v>55.9</v>
      </c>
      <c r="D247" s="13" t="n">
        <v>75.63</v>
      </c>
      <c r="E247" s="13">
        <f>IF(OR(C247="",D247=""),"",ABS(C247-D247))</f>
        <v/>
      </c>
      <c r="F247" s="11" t="inlineStr">
        <is>
          <t>DET</t>
        </is>
      </c>
      <c r="G247" s="12" t="n">
        <v>-160</v>
      </c>
      <c r="H247" s="14">
        <f>IF(OR(F247="",G247="",AND(I247&lt;&gt;"W",I247&lt;&gt;"L")),"",IF(I247="W",IF(G247&gt;0,G247/100,1),IF(G247&lt;0,G247/100,-1)))</f>
        <v/>
      </c>
      <c r="I247" s="11" t="inlineStr">
        <is>
          <t>L</t>
        </is>
      </c>
      <c r="J247" s="10" t="inlineStr">
        <is>
          <t>BUF 5, DET 4</t>
        </is>
      </c>
      <c r="K247" s="10" t="inlineStr">
        <is>
          <t>ESPN BET closing</t>
        </is>
      </c>
    </row>
    <row r="248">
      <c r="A248" s="9" t="n">
        <v>45976</v>
      </c>
      <c r="B248" s="10" t="inlineStr">
        <is>
          <t>NJD @ WSH</t>
        </is>
      </c>
      <c r="C248" s="13" t="n">
        <v>84.45</v>
      </c>
      <c r="D248" s="13" t="n">
        <v>72.43000000000001</v>
      </c>
      <c r="E248" s="13">
        <f>IF(OR(C248="",D248=""),"",ABS(C248-D248))</f>
        <v/>
      </c>
      <c r="F248" s="11" t="inlineStr">
        <is>
          <t>NJD</t>
        </is>
      </c>
      <c r="G248" s="12" t="n">
        <v>130</v>
      </c>
      <c r="H248" s="14">
        <f>IF(OR(F248="",G248="",AND(I248&lt;&gt;"W",I248&lt;&gt;"L")),"",IF(I248="W",IF(G248&gt;0,G248/100,1),IF(G248&lt;0,G248/100,-1)))</f>
        <v/>
      </c>
      <c r="I248" s="11" t="inlineStr">
        <is>
          <t>W</t>
        </is>
      </c>
      <c r="J248" s="10" t="inlineStr">
        <is>
          <t>NJD 3, WSH 2</t>
        </is>
      </c>
      <c r="K248" s="10" t="inlineStr">
        <is>
          <t>ESPN BET closing</t>
        </is>
      </c>
    </row>
    <row r="249">
      <c r="A249" s="9" t="n">
        <v>45976</v>
      </c>
      <c r="B249" s="10" t="inlineStr">
        <is>
          <t>EDM @ CAR</t>
        </is>
      </c>
      <c r="C249" s="13" t="n">
        <v>65.09</v>
      </c>
      <c r="D249" s="13" t="n">
        <v>95.34999999999999</v>
      </c>
      <c r="E249" s="13">
        <f>IF(OR(C249="",D249=""),"",ABS(C249-D249))</f>
        <v/>
      </c>
      <c r="F249" s="11" t="inlineStr">
        <is>
          <t>CAR</t>
        </is>
      </c>
      <c r="G249" s="12" t="n">
        <v>-125</v>
      </c>
      <c r="H249" s="14">
        <f>IF(OR(F249="",G249="",AND(I249&lt;&gt;"W",I249&lt;&gt;"L")),"",IF(I249="W",IF(G249&gt;0,G249/100,1),IF(G249&lt;0,G249/100,-1)))</f>
        <v/>
      </c>
      <c r="I249" s="11" t="inlineStr">
        <is>
          <t>L</t>
        </is>
      </c>
      <c r="J249" s="10" t="inlineStr">
        <is>
          <t>EDM 4, CAR 3</t>
        </is>
      </c>
      <c r="K249" s="10" t="inlineStr">
        <is>
          <t>ESPN BET closing</t>
        </is>
      </c>
    </row>
    <row r="250">
      <c r="A250" s="9" t="n">
        <v>45976</v>
      </c>
      <c r="B250" s="10" t="inlineStr">
        <is>
          <t>NYR @ CBJ</t>
        </is>
      </c>
      <c r="C250" s="13" t="n">
        <v>73.44</v>
      </c>
      <c r="D250" s="13" t="n">
        <v>74.91</v>
      </c>
      <c r="E250" s="13">
        <f>IF(OR(C250="",D250=""),"",ABS(C250-D250))</f>
        <v/>
      </c>
      <c r="F250" s="11" t="inlineStr">
        <is>
          <t>CBJ</t>
        </is>
      </c>
      <c r="G250" s="12" t="n">
        <v>-105</v>
      </c>
      <c r="H250" s="14">
        <f>IF(OR(F250="",G250="",AND(I250&lt;&gt;"W",I250&lt;&gt;"L")),"",IF(I250="W",IF(G250&gt;0,G250/100,1),IF(G250&lt;0,G250/100,-1)))</f>
        <v/>
      </c>
      <c r="I250" s="11" t="inlineStr">
        <is>
          <t>L</t>
        </is>
      </c>
      <c r="J250" s="10" t="inlineStr">
        <is>
          <t>NYR 2, CBJ 1</t>
        </is>
      </c>
      <c r="K250" s="10" t="inlineStr">
        <is>
          <t>ESPN BET closing</t>
        </is>
      </c>
    </row>
    <row r="251">
      <c r="A251" s="9" t="n">
        <v>45976</v>
      </c>
      <c r="B251" s="10" t="inlineStr">
        <is>
          <t>TOR @ CHI</t>
        </is>
      </c>
      <c r="C251" s="13" t="n">
        <v>52.86</v>
      </c>
      <c r="D251" s="13" t="n">
        <v>55.55</v>
      </c>
      <c r="E251" s="13">
        <f>IF(OR(C251="",D251=""),"",ABS(C251-D251))</f>
        <v/>
      </c>
      <c r="F251" s="11" t="inlineStr">
        <is>
          <t>CHI</t>
        </is>
      </c>
      <c r="G251" s="12" t="n">
        <v>105</v>
      </c>
      <c r="H251" s="14">
        <f>IF(OR(F251="",G251="",AND(I251&lt;&gt;"W",I251&lt;&gt;"L")),"",IF(I251="W",IF(G251&gt;0,G251/100,1),IF(G251&lt;0,G251/100,-1)))</f>
        <v/>
      </c>
      <c r="I251" s="11" t="inlineStr">
        <is>
          <t>W</t>
        </is>
      </c>
      <c r="J251" s="10" t="inlineStr">
        <is>
          <t>TOR 2, CHI 3</t>
        </is>
      </c>
      <c r="K251" s="10" t="inlineStr">
        <is>
          <t>ESPN BET closing</t>
        </is>
      </c>
    </row>
    <row r="252">
      <c r="A252" s="9" t="n">
        <v>45976</v>
      </c>
      <c r="B252" s="10" t="inlineStr">
        <is>
          <t>VGK @ STL</t>
        </is>
      </c>
      <c r="C252" s="13" t="n">
        <v>72.64</v>
      </c>
      <c r="D252" s="13" t="n">
        <v>69.03</v>
      </c>
      <c r="E252" s="13">
        <f>IF(OR(C252="",D252=""),"",ABS(C252-D252))</f>
        <v/>
      </c>
      <c r="F252" s="11" t="inlineStr">
        <is>
          <t>VGK</t>
        </is>
      </c>
      <c r="G252" s="12" t="n">
        <v>-155</v>
      </c>
      <c r="H252" s="14">
        <f>IF(OR(F252="",G252="",AND(I252&lt;&gt;"W",I252&lt;&gt;"L")),"",IF(I252="W",IF(G252&gt;0,G252/100,1),IF(G252&lt;0,G252/100,-1)))</f>
        <v/>
      </c>
      <c r="I252" s="11" t="inlineStr">
        <is>
          <t>W</t>
        </is>
      </c>
      <c r="J252" s="10" t="inlineStr">
        <is>
          <t>VGK 4, STL 1</t>
        </is>
      </c>
      <c r="K252" s="10" t="inlineStr">
        <is>
          <t>ESPN BET closing</t>
        </is>
      </c>
    </row>
    <row r="253">
      <c r="A253" s="9" t="n">
        <v>45976</v>
      </c>
      <c r="B253" s="10" t="inlineStr">
        <is>
          <t>PHI @ DAL</t>
        </is>
      </c>
      <c r="C253" s="13" t="n">
        <v>70.97</v>
      </c>
      <c r="D253" s="13" t="n">
        <v>88.05</v>
      </c>
      <c r="E253" s="13">
        <f>IF(OR(C253="",D253=""),"",ABS(C253-D253))</f>
        <v/>
      </c>
      <c r="F253" s="11" t="inlineStr">
        <is>
          <t>DAL</t>
        </is>
      </c>
      <c r="G253" s="12" t="n">
        <v>-195</v>
      </c>
      <c r="H253" s="14">
        <f>IF(OR(F253="",G253="",AND(I253&lt;&gt;"W",I253&lt;&gt;"L")),"",IF(I253="W",IF(G253&gt;0,G253/100,1),IF(G253&lt;0,G253/100,-1)))</f>
        <v/>
      </c>
      <c r="I253" s="11" t="inlineStr">
        <is>
          <t>W</t>
        </is>
      </c>
      <c r="J253" s="10" t="inlineStr">
        <is>
          <t>PHI 1, DAL 5</t>
        </is>
      </c>
      <c r="K253" s="10" t="inlineStr">
        <is>
          <t>ESPN BET closing</t>
        </is>
      </c>
    </row>
    <row r="254">
      <c r="A254" s="9" t="n">
        <v>45976</v>
      </c>
      <c r="B254" s="10" t="inlineStr">
        <is>
          <t>WPG @ CGY</t>
        </is>
      </c>
      <c r="C254" s="13" t="n">
        <v>70.09</v>
      </c>
      <c r="D254" s="13" t="n">
        <v>87.7</v>
      </c>
      <c r="E254" s="13">
        <f>IF(OR(C254="",D254=""),"",ABS(C254-D254))</f>
        <v/>
      </c>
      <c r="F254" s="11" t="inlineStr">
        <is>
          <t>CGY</t>
        </is>
      </c>
      <c r="G254" s="12" t="n">
        <v>110</v>
      </c>
      <c r="H254" s="14">
        <f>IF(OR(F254="",G254="",AND(I254&lt;&gt;"W",I254&lt;&gt;"L")),"",IF(I254="W",IF(G254&gt;0,G254/100,1),IF(G254&lt;0,G254/100,-1)))</f>
        <v/>
      </c>
      <c r="I254" s="11" t="inlineStr">
        <is>
          <t>L</t>
        </is>
      </c>
      <c r="J254" s="10" t="inlineStr">
        <is>
          <t>WPG 4, CGY 3</t>
        </is>
      </c>
      <c r="K254" s="10" t="inlineStr">
        <is>
          <t>ESPN BET closing</t>
        </is>
      </c>
    </row>
    <row r="255">
      <c r="A255" s="9" t="n">
        <v>45976</v>
      </c>
      <c r="B255" s="10" t="inlineStr">
        <is>
          <t>SJS @ SEA</t>
        </is>
      </c>
      <c r="C255" s="13" t="n">
        <v>52.3</v>
      </c>
      <c r="D255" s="13" t="n">
        <v>69.91</v>
      </c>
      <c r="E255" s="13">
        <f>IF(OR(C255="",D255=""),"",ABS(C255-D255))</f>
        <v/>
      </c>
      <c r="F255" s="11" t="inlineStr">
        <is>
          <t>SEA</t>
        </is>
      </c>
      <c r="G255" s="12" t="n">
        <v>-150</v>
      </c>
      <c r="H255" s="14">
        <f>IF(OR(F255="",G255="",AND(I255&lt;&gt;"W",I255&lt;&gt;"L")),"",IF(I255="W",IF(G255&gt;0,G255/100,1),IF(G255&lt;0,G255/100,-1)))</f>
        <v/>
      </c>
      <c r="I255" s="11" t="inlineStr">
        <is>
          <t>W</t>
        </is>
      </c>
      <c r="J255" s="10" t="inlineStr">
        <is>
          <t>SJS 1, SEA 4</t>
        </is>
      </c>
      <c r="K255" s="10" t="inlineStr">
        <is>
          <t>ESPN BET closing</t>
        </is>
      </c>
    </row>
    <row r="256">
      <c r="A256" s="9" t="n">
        <v>45977</v>
      </c>
      <c r="B256" s="10" t="inlineStr">
        <is>
          <t>NSH @ PIT</t>
        </is>
      </c>
      <c r="C256" s="13" t="n">
        <v>82.36</v>
      </c>
      <c r="D256" s="13" t="n">
        <v>57.64</v>
      </c>
      <c r="E256" s="13">
        <f>IF(OR(C256="",D256=""),"",ABS(C256-D256))</f>
        <v/>
      </c>
      <c r="F256" s="11" t="inlineStr">
        <is>
          <t>NSH</t>
        </is>
      </c>
      <c r="G256" s="12" t="n">
        <v>105</v>
      </c>
      <c r="H256" s="14">
        <f>IF(OR(F256="",G256="",AND(I256&lt;&gt;"W",I256&lt;&gt;"L")),"",IF(I256="W",IF(G256&gt;0,G256/100,1),IF(G256&lt;0,G256/100,-1)))</f>
        <v/>
      </c>
      <c r="I256" s="11" t="inlineStr">
        <is>
          <t>L</t>
        </is>
      </c>
      <c r="J256" s="10" t="inlineStr">
        <is>
          <t>NSH 0, PIT 4</t>
        </is>
      </c>
      <c r="K256" s="10" t="inlineStr">
        <is>
          <t>ESPN BET closing</t>
        </is>
      </c>
    </row>
    <row r="257">
      <c r="A257" s="9" t="n">
        <v>45977</v>
      </c>
      <c r="B257" s="10" t="inlineStr">
        <is>
          <t>VAN @ TBL</t>
        </is>
      </c>
      <c r="C257" s="13" t="n">
        <v>44.65</v>
      </c>
      <c r="D257" s="13" t="n">
        <v>72.65000000000001</v>
      </c>
      <c r="E257" s="13">
        <f>IF(OR(C257="",D257=""),"",ABS(C257-D257))</f>
        <v/>
      </c>
      <c r="F257" s="11" t="inlineStr">
        <is>
          <t>TBL</t>
        </is>
      </c>
      <c r="G257" s="12" t="n">
        <v>-145</v>
      </c>
      <c r="H257" s="14">
        <f>IF(OR(F257="",G257="",AND(I257&lt;&gt;"W",I257&lt;&gt;"L")),"",IF(I257="W",IF(G257&gt;0,G257/100,1),IF(G257&lt;0,G257/100,-1)))</f>
        <v/>
      </c>
      <c r="I257" s="11" t="inlineStr">
        <is>
          <t>L</t>
        </is>
      </c>
      <c r="J257" s="10" t="inlineStr">
        <is>
          <t>VAN 6, TBL 2</t>
        </is>
      </c>
      <c r="K257" s="10" t="inlineStr">
        <is>
          <t>ESPN BET closing</t>
        </is>
      </c>
    </row>
    <row r="258">
      <c r="A258" s="9" t="n">
        <v>45977</v>
      </c>
      <c r="B258" s="10" t="inlineStr">
        <is>
          <t>VGK @ MIN</t>
        </is>
      </c>
      <c r="C258" s="13" t="n">
        <v>89.43000000000001</v>
      </c>
      <c r="D258" s="13" t="n">
        <v>74.78</v>
      </c>
      <c r="E258" s="13">
        <f>IF(OR(C258="",D258=""),"",ABS(C258-D258))</f>
        <v/>
      </c>
      <c r="F258" s="11" t="inlineStr">
        <is>
          <t>VGK</t>
        </is>
      </c>
      <c r="G258" s="12" t="n">
        <v>-125</v>
      </c>
      <c r="H258" s="14">
        <f>IF(OR(F258="",G258="",AND(I258&lt;&gt;"W",I258&lt;&gt;"L")),"",IF(I258="W",IF(G258&gt;0,G258/100,1),IF(G258&lt;0,G258/100,-1)))</f>
        <v/>
      </c>
      <c r="I258" s="11" t="inlineStr">
        <is>
          <t>L</t>
        </is>
      </c>
      <c r="J258" s="10" t="inlineStr">
        <is>
          <t>VGK 2, MIN 3</t>
        </is>
      </c>
      <c r="K258" s="10" t="inlineStr">
        <is>
          <t>ESPN BET closing</t>
        </is>
      </c>
    </row>
    <row r="259">
      <c r="A259" s="9" t="n">
        <v>45977</v>
      </c>
      <c r="B259" s="10" t="inlineStr">
        <is>
          <t>DET @ NYR</t>
        </is>
      </c>
      <c r="C259" s="13" t="n">
        <v>67.72</v>
      </c>
      <c r="D259" s="13" t="n">
        <v>77.84999999999999</v>
      </c>
      <c r="E259" s="13">
        <f>IF(OR(C259="",D259=""),"",ABS(C259-D259))</f>
        <v/>
      </c>
      <c r="F259" s="11" t="inlineStr">
        <is>
          <t>NYR</t>
        </is>
      </c>
      <c r="G259" s="12" t="n">
        <v>-135</v>
      </c>
      <c r="H259" s="14">
        <f>IF(OR(F259="",G259="",AND(I259&lt;&gt;"W",I259&lt;&gt;"L")),"",IF(I259="W",IF(G259&gt;0,G259/100,1),IF(G259&lt;0,G259/100,-1)))</f>
        <v/>
      </c>
      <c r="I259" s="11" t="inlineStr">
        <is>
          <t>L</t>
        </is>
      </c>
      <c r="J259" s="10" t="inlineStr">
        <is>
          <t>DET 2, NYR 1</t>
        </is>
      </c>
      <c r="K259" s="10" t="inlineStr">
        <is>
          <t>ESPN BET closing</t>
        </is>
      </c>
    </row>
    <row r="260">
      <c r="A260" s="9" t="n">
        <v>45977</v>
      </c>
      <c r="B260" s="10" t="inlineStr">
        <is>
          <t>NYI @ COL</t>
        </is>
      </c>
      <c r="C260" s="13" t="n">
        <v>70.20999999999999</v>
      </c>
      <c r="D260" s="13" t="n">
        <v>84.09999999999999</v>
      </c>
      <c r="E260" s="13">
        <f>IF(OR(C260="",D260=""),"",ABS(C260-D260))</f>
        <v/>
      </c>
      <c r="F260" s="11" t="inlineStr">
        <is>
          <t>COL</t>
        </is>
      </c>
      <c r="G260" s="12" t="n">
        <v>-240</v>
      </c>
      <c r="H260" s="14">
        <f>IF(OR(F260="",G260="",AND(I260&lt;&gt;"W",I260&lt;&gt;"L")),"",IF(I260="W",IF(G260&gt;0,G260/100,1),IF(G260&lt;0,G260/100,-1)))</f>
        <v/>
      </c>
      <c r="I260" s="11" t="inlineStr">
        <is>
          <t>W</t>
        </is>
      </c>
      <c r="J260" s="10" t="inlineStr">
        <is>
          <t>NYI 1, COL 4</t>
        </is>
      </c>
      <c r="K260" s="10" t="inlineStr">
        <is>
          <t>ESPN BET closing</t>
        </is>
      </c>
    </row>
    <row r="261">
      <c r="A261" s="9" t="n">
        <v>45978</v>
      </c>
      <c r="B261" s="10" t="inlineStr">
        <is>
          <t>CAR @ BOS</t>
        </is>
      </c>
      <c r="C261" s="13" t="n">
        <v>70.05</v>
      </c>
      <c r="D261" s="13" t="n">
        <v>72.23999999999999</v>
      </c>
      <c r="E261" s="13">
        <f>IF(OR(C261="",D261=""),"",ABS(C261-D261))</f>
        <v/>
      </c>
      <c r="F261" s="11" t="inlineStr">
        <is>
          <t>BOS</t>
        </is>
      </c>
      <c r="G261" s="12" t="n">
        <v>170</v>
      </c>
      <c r="H261" s="14">
        <f>IF(OR(F261="",G261="",AND(I261&lt;&gt;"W",I261&lt;&gt;"L")),"",IF(I261="W",IF(G261&gt;0,G261/100,1),IF(G261&lt;0,G261/100,-1)))</f>
        <v/>
      </c>
      <c r="I261" s="11" t="inlineStr">
        <is>
          <t>L</t>
        </is>
      </c>
      <c r="J261" s="10" t="inlineStr">
        <is>
          <t>CAR 3, BOS 1</t>
        </is>
      </c>
      <c r="K261" s="10" t="inlineStr">
        <is>
          <t>ESPN BET closing</t>
        </is>
      </c>
    </row>
    <row r="262">
      <c r="A262" s="9" t="n">
        <v>45978</v>
      </c>
      <c r="B262" s="10" t="inlineStr">
        <is>
          <t>EDM @ BUF</t>
        </is>
      </c>
      <c r="C262" s="13" t="n">
        <v>69.95</v>
      </c>
      <c r="D262" s="13" t="n">
        <v>72.28</v>
      </c>
      <c r="E262" s="13">
        <f>IF(OR(C262="",D262=""),"",ABS(C262-D262))</f>
        <v/>
      </c>
      <c r="F262" s="11" t="inlineStr">
        <is>
          <t>BUF</t>
        </is>
      </c>
      <c r="G262" s="12" t="n">
        <v>130</v>
      </c>
      <c r="H262" s="14">
        <f>IF(OR(F262="",G262="",AND(I262&lt;&gt;"W",I262&lt;&gt;"L")),"",IF(I262="W",IF(G262&gt;0,G262/100,1),IF(G262&lt;0,G262/100,-1)))</f>
        <v/>
      </c>
      <c r="I262" s="11" t="inlineStr">
        <is>
          <t>W</t>
        </is>
      </c>
      <c r="J262" s="10" t="inlineStr">
        <is>
          <t>EDM 1, BUF 5</t>
        </is>
      </c>
      <c r="K262" s="10" t="inlineStr">
        <is>
          <t>ESPN BET closing</t>
        </is>
      </c>
    </row>
    <row r="263">
      <c r="A263" s="9" t="n">
        <v>45978</v>
      </c>
      <c r="B263" s="10" t="inlineStr">
        <is>
          <t>VAN @ FLA</t>
        </is>
      </c>
      <c r="C263" s="13" t="n">
        <v>66.61</v>
      </c>
      <c r="D263" s="13" t="n">
        <v>67.34999999999999</v>
      </c>
      <c r="E263" s="13">
        <f>IF(OR(C263="",D263=""),"",ABS(C263-D263))</f>
        <v/>
      </c>
      <c r="F263" s="11" t="inlineStr">
        <is>
          <t>FLA</t>
        </is>
      </c>
      <c r="G263" s="12" t="n">
        <v>-275</v>
      </c>
      <c r="H263" s="14">
        <f>IF(OR(F263="",G263="",AND(I263&lt;&gt;"W",I263&lt;&gt;"L")),"",IF(I263="W",IF(G263&gt;0,G263/100,1),IF(G263&lt;0,G263/100,-1)))</f>
        <v/>
      </c>
      <c r="I263" s="11" t="inlineStr">
        <is>
          <t>W</t>
        </is>
      </c>
      <c r="J263" s="10" t="inlineStr">
        <is>
          <t>VAN 5, FLA 8</t>
        </is>
      </c>
      <c r="K263" s="10" t="inlineStr">
        <is>
          <t>ESPN BET closing</t>
        </is>
      </c>
    </row>
    <row r="264">
      <c r="A264" s="9" t="n">
        <v>45978</v>
      </c>
      <c r="B264" s="10" t="inlineStr">
        <is>
          <t>LAK @ WSH</t>
        </is>
      </c>
      <c r="C264" s="13" t="n">
        <v>67.31</v>
      </c>
      <c r="D264" s="13" t="n">
        <v>70.84999999999999</v>
      </c>
      <c r="E264" s="13">
        <f>IF(OR(C264="",D264=""),"",ABS(C264-D264))</f>
        <v/>
      </c>
      <c r="F264" s="11" t="inlineStr">
        <is>
          <t>WSH</t>
        </is>
      </c>
      <c r="G264" s="12" t="n">
        <v>-115</v>
      </c>
      <c r="H264" s="14">
        <f>IF(OR(F264="",G264="",AND(I264&lt;&gt;"W",I264&lt;&gt;"L")),"",IF(I264="W",IF(G264&gt;0,G264/100,1),IF(G264&lt;0,G264/100,-1)))</f>
        <v/>
      </c>
      <c r="I264" s="11" t="inlineStr">
        <is>
          <t>W</t>
        </is>
      </c>
      <c r="J264" s="10" t="inlineStr">
        <is>
          <t>LAK 1, WSH 2</t>
        </is>
      </c>
      <c r="K264" s="10" t="inlineStr">
        <is>
          <t>ESPN BET closing</t>
        </is>
      </c>
    </row>
    <row r="265">
      <c r="A265" s="9" t="n">
        <v>45978</v>
      </c>
      <c r="B265" s="10" t="inlineStr">
        <is>
          <t>MTL @ CBJ</t>
        </is>
      </c>
      <c r="C265" s="13" t="n">
        <v>67.76000000000001</v>
      </c>
      <c r="D265" s="13" t="n">
        <v>62.15</v>
      </c>
      <c r="E265" s="13">
        <f>IF(OR(C265="",D265=""),"",ABS(C265-D265))</f>
        <v/>
      </c>
      <c r="F265" s="11" t="inlineStr">
        <is>
          <t>MTL</t>
        </is>
      </c>
      <c r="G265" s="12" t="n">
        <v>115</v>
      </c>
      <c r="H265" s="14">
        <f>IF(OR(F265="",G265="",AND(I265&lt;&gt;"W",I265&lt;&gt;"L")),"",IF(I265="W",IF(G265&gt;0,G265/100,1),IF(G265&lt;0,G265/100,-1)))</f>
        <v/>
      </c>
      <c r="I265" s="11" t="inlineStr">
        <is>
          <t>L</t>
        </is>
      </c>
      <c r="J265" s="10" t="inlineStr">
        <is>
          <t>MTL 3, CBJ 4</t>
        </is>
      </c>
      <c r="K265" s="10" t="inlineStr">
        <is>
          <t>ESPN BET closing</t>
        </is>
      </c>
    </row>
    <row r="266">
      <c r="A266" s="9" t="n">
        <v>45978</v>
      </c>
      <c r="B266" s="10" t="inlineStr">
        <is>
          <t>UTA @ ANA</t>
        </is>
      </c>
      <c r="C266" s="13" t="n">
        <v>69.79000000000001</v>
      </c>
      <c r="D266" s="13" t="n">
        <v>65.22</v>
      </c>
      <c r="E266" s="13">
        <f>IF(OR(C266="",D266=""),"",ABS(C266-D266))</f>
        <v/>
      </c>
      <c r="F266" s="11" t="inlineStr">
        <is>
          <t>UTA</t>
        </is>
      </c>
      <c r="G266" s="12" t="n">
        <v>-110</v>
      </c>
      <c r="H266" s="14">
        <f>IF(OR(F266="",G266="",AND(I266&lt;&gt;"W",I266&lt;&gt;"L")),"",IF(I266="W",IF(G266&gt;0,G266/100,1),IF(G266&lt;0,G266/100,-1)))</f>
        <v/>
      </c>
      <c r="I266" s="11" t="inlineStr">
        <is>
          <t>L</t>
        </is>
      </c>
      <c r="J266" s="10" t="inlineStr">
        <is>
          <t>UTA 2, ANA 3</t>
        </is>
      </c>
      <c r="K266" s="10" t="inlineStr">
        <is>
          <t>ESPN BET closing</t>
        </is>
      </c>
    </row>
    <row r="267">
      <c r="A267" s="9" t="n">
        <v>45979</v>
      </c>
      <c r="B267" s="10" t="inlineStr">
        <is>
          <t>STL @ TOR</t>
        </is>
      </c>
      <c r="C267" s="13" t="n">
        <v>50.57</v>
      </c>
      <c r="D267" s="13" t="n">
        <v>71.75</v>
      </c>
      <c r="E267" s="13">
        <f>IF(OR(C267="",D267=""),"",ABS(C267-D267))</f>
        <v/>
      </c>
      <c r="F267" s="11" t="inlineStr">
        <is>
          <t>TOR</t>
        </is>
      </c>
      <c r="G267" s="12" t="n">
        <v>-110</v>
      </c>
      <c r="H267" s="14">
        <f>IF(OR(F267="",G267="",AND(I267&lt;&gt;"W",I267&lt;&gt;"L")),"",IF(I267="W",IF(G267&gt;0,G267/100,1),IF(G267&lt;0,G267/100,-1)))</f>
        <v/>
      </c>
      <c r="I267" s="11" t="inlineStr">
        <is>
          <t>W</t>
        </is>
      </c>
      <c r="J267" s="10" t="inlineStr">
        <is>
          <t>STL 2, TOR 3</t>
        </is>
      </c>
      <c r="K267" s="10" t="inlineStr">
        <is>
          <t>ESPN BET closing</t>
        </is>
      </c>
    </row>
    <row r="268">
      <c r="A268" s="9" t="n">
        <v>45979</v>
      </c>
      <c r="B268" s="10" t="inlineStr">
        <is>
          <t>SEA @ DET</t>
        </is>
      </c>
      <c r="C268" s="13" t="n">
        <v>68.63</v>
      </c>
      <c r="D268" s="13" t="n">
        <v>78.84999999999999</v>
      </c>
      <c r="E268" s="13">
        <f>IF(OR(C268="",D268=""),"",ABS(C268-D268))</f>
        <v/>
      </c>
      <c r="F268" s="11" t="inlineStr">
        <is>
          <t>DET</t>
        </is>
      </c>
      <c r="G268" s="12" t="n">
        <v>-170</v>
      </c>
      <c r="H268" s="14">
        <f>IF(OR(F268="",G268="",AND(I268&lt;&gt;"W",I268&lt;&gt;"L")),"",IF(I268="W",IF(G268&gt;0,G268/100,1),IF(G268&lt;0,G268/100,-1)))</f>
        <v/>
      </c>
      <c r="I268" s="11" t="inlineStr">
        <is>
          <t>W</t>
        </is>
      </c>
      <c r="J268" s="10" t="inlineStr">
        <is>
          <t>SEA 2, DET 4</t>
        </is>
      </c>
      <c r="K268" s="10" t="inlineStr">
        <is>
          <t>ESPN BET closing</t>
        </is>
      </c>
    </row>
    <row r="269">
      <c r="A269" s="9" t="n">
        <v>45979</v>
      </c>
      <c r="B269" s="10" t="inlineStr">
        <is>
          <t>NJD @ TBL</t>
        </is>
      </c>
      <c r="C269" s="13" t="n">
        <v>69.15000000000001</v>
      </c>
      <c r="D269" s="13" t="n">
        <v>73.39</v>
      </c>
      <c r="E269" s="13">
        <f>IF(OR(C269="",D269=""),"",ABS(C269-D269))</f>
        <v/>
      </c>
      <c r="F269" s="11" t="inlineStr">
        <is>
          <t>TBL</t>
        </is>
      </c>
      <c r="G269" s="12" t="n">
        <v>-155</v>
      </c>
      <c r="H269" s="14">
        <f>IF(OR(F269="",G269="",AND(I269&lt;&gt;"W",I269&lt;&gt;"L")),"",IF(I269="W",IF(G269&gt;0,G269/100,1),IF(G269&lt;0,G269/100,-1)))</f>
        <v/>
      </c>
      <c r="I269" s="11" t="inlineStr">
        <is>
          <t>W</t>
        </is>
      </c>
      <c r="J269" s="10" t="inlineStr">
        <is>
          <t>NJD 1, TBL 5</t>
        </is>
      </c>
      <c r="K269" s="10" t="inlineStr">
        <is>
          <t>ESPN BET closing</t>
        </is>
      </c>
    </row>
    <row r="270">
      <c r="A270" s="9" t="n">
        <v>45979</v>
      </c>
      <c r="B270" s="10" t="inlineStr">
        <is>
          <t>NYI @ DAL</t>
        </is>
      </c>
      <c r="C270" s="13" t="n">
        <v>63.89</v>
      </c>
      <c r="D270" s="13" t="n">
        <v>89.5</v>
      </c>
      <c r="E270" s="13">
        <f>IF(OR(C270="",D270=""),"",ABS(C270-D270))</f>
        <v/>
      </c>
      <c r="F270" s="11" t="inlineStr">
        <is>
          <t>DAL</t>
        </is>
      </c>
      <c r="G270" s="12" t="n">
        <v>-185</v>
      </c>
      <c r="H270" s="14">
        <f>IF(OR(F270="",G270="",AND(I270&lt;&gt;"W",I270&lt;&gt;"L")),"",IF(I270="W",IF(G270&gt;0,G270/100,1),IF(G270&lt;0,G270/100,-1)))</f>
        <v/>
      </c>
      <c r="I270" s="11" t="inlineStr">
        <is>
          <t>L</t>
        </is>
      </c>
      <c r="J270" s="10" t="inlineStr">
        <is>
          <t>NYI 3, DAL 2</t>
        </is>
      </c>
      <c r="K270" s="10" t="inlineStr">
        <is>
          <t>ESPN BET closing</t>
        </is>
      </c>
    </row>
    <row r="271">
      <c r="A271" s="9" t="n">
        <v>45979</v>
      </c>
      <c r="B271" s="10" t="inlineStr">
        <is>
          <t>CBJ @ WPG</t>
        </is>
      </c>
      <c r="C271" s="13" t="n">
        <v>65.63</v>
      </c>
      <c r="D271" s="13" t="n">
        <v>74.65000000000001</v>
      </c>
      <c r="E271" s="13">
        <f>IF(OR(C271="",D271=""),"",ABS(C271-D271))</f>
        <v/>
      </c>
      <c r="F271" s="11" t="inlineStr">
        <is>
          <t>WPG</t>
        </is>
      </c>
      <c r="G271" s="12" t="n">
        <v>-170</v>
      </c>
      <c r="H271" s="14">
        <f>IF(OR(F271="",G271="",AND(I271&lt;&gt;"W",I271&lt;&gt;"L")),"",IF(I271="W",IF(G271&gt;0,G271/100,1),IF(G271&lt;0,G271/100,-1)))</f>
        <v/>
      </c>
      <c r="I271" s="11" t="inlineStr">
        <is>
          <t>W</t>
        </is>
      </c>
      <c r="J271" s="10" t="inlineStr">
        <is>
          <t>CBJ 2, WPG 5</t>
        </is>
      </c>
      <c r="K271" s="10" t="inlineStr">
        <is>
          <t>ESPN BET closing</t>
        </is>
      </c>
    </row>
    <row r="272">
      <c r="A272" s="9" t="n">
        <v>45979</v>
      </c>
      <c r="B272" s="10" t="inlineStr">
        <is>
          <t>CGY @ CHI</t>
        </is>
      </c>
      <c r="C272" s="13" t="n">
        <v>65.34999999999999</v>
      </c>
      <c r="D272" s="13" t="n">
        <v>68.25</v>
      </c>
      <c r="E272" s="13">
        <f>IF(OR(C272="",D272=""),"",ABS(C272-D272))</f>
        <v/>
      </c>
      <c r="F272" s="11" t="inlineStr">
        <is>
          <t>CHI</t>
        </is>
      </c>
      <c r="G272" s="12" t="n">
        <v>110</v>
      </c>
      <c r="H272" s="14">
        <f>IF(OR(F272="",G272="",AND(I272&lt;&gt;"W",I272&lt;&gt;"L")),"",IF(I272="W",IF(G272&gt;0,G272/100,1),IF(G272&lt;0,G272/100,-1)))</f>
        <v/>
      </c>
      <c r="I272" s="11" t="inlineStr">
        <is>
          <t>W</t>
        </is>
      </c>
      <c r="J272" s="10" t="inlineStr">
        <is>
          <t>CGY 2, CHI 5</t>
        </is>
      </c>
      <c r="K272" s="10" t="inlineStr">
        <is>
          <t>ESPN BET closing</t>
        </is>
      </c>
    </row>
    <row r="273">
      <c r="A273" s="9" t="n">
        <v>45979</v>
      </c>
      <c r="B273" s="10" t="inlineStr">
        <is>
          <t>NYR @ VGK</t>
        </is>
      </c>
      <c r="C273" s="13" t="n">
        <v>61.15</v>
      </c>
      <c r="D273" s="13" t="n">
        <v>69.98</v>
      </c>
      <c r="E273" s="13">
        <f>IF(OR(C273="",D273=""),"",ABS(C273-D273))</f>
        <v/>
      </c>
      <c r="F273" s="11" t="inlineStr">
        <is>
          <t>VGK</t>
        </is>
      </c>
      <c r="G273" s="12" t="n">
        <v>-140</v>
      </c>
      <c r="H273" s="14">
        <f>IF(OR(F273="",G273="",AND(I273&lt;&gt;"W",I273&lt;&gt;"L")),"",IF(I273="W",IF(G273&gt;0,G273/100,1),IF(G273&lt;0,G273/100,-1)))</f>
        <v/>
      </c>
      <c r="I273" s="11" t="inlineStr">
        <is>
          <t>W</t>
        </is>
      </c>
      <c r="J273" s="10" t="inlineStr">
        <is>
          <t>NYR 2, VGK 3</t>
        </is>
      </c>
      <c r="K273" s="10" t="inlineStr">
        <is>
          <t>ESPN BET closing</t>
        </is>
      </c>
    </row>
    <row r="274">
      <c r="A274" s="9" t="n">
        <v>45979</v>
      </c>
      <c r="B274" s="10" t="inlineStr">
        <is>
          <t>UTA @ SJS</t>
        </is>
      </c>
      <c r="C274" s="13" t="n">
        <v>65.27</v>
      </c>
      <c r="D274" s="13" t="n">
        <v>71.37</v>
      </c>
      <c r="E274" s="13">
        <f>IF(OR(C274="",D274=""),"",ABS(C274-D274))</f>
        <v/>
      </c>
      <c r="F274" s="11" t="inlineStr">
        <is>
          <t>SJS</t>
        </is>
      </c>
      <c r="G274" s="12" t="n">
        <v>115</v>
      </c>
      <c r="H274" s="14">
        <f>IF(OR(F274="",G274="",AND(I274&lt;&gt;"W",I274&lt;&gt;"L")),"",IF(I274="W",IF(G274&gt;0,G274/100,1),IF(G274&lt;0,G274/100,-1)))</f>
        <v/>
      </c>
      <c r="I274" s="11" t="inlineStr">
        <is>
          <t>W</t>
        </is>
      </c>
      <c r="J274" s="10" t="inlineStr">
        <is>
          <t>UTA 2, SJS 3</t>
        </is>
      </c>
      <c r="K274" s="10" t="inlineStr">
        <is>
          <t>ESPN BET closing</t>
        </is>
      </c>
    </row>
    <row r="275">
      <c r="A275" s="9" t="n">
        <v>45980</v>
      </c>
      <c r="B275" s="10" t="inlineStr">
        <is>
          <t>EDM @ WSH</t>
        </is>
      </c>
      <c r="C275" s="13" t="n">
        <v>55.47</v>
      </c>
      <c r="D275" s="13" t="n">
        <v>71.86</v>
      </c>
      <c r="E275" s="13">
        <f>IF(OR(C275="",D275=""),"",ABS(C275-D275))</f>
        <v/>
      </c>
      <c r="F275" s="11" t="inlineStr">
        <is>
          <t>WSH</t>
        </is>
      </c>
      <c r="G275" s="12" t="n">
        <v>-125</v>
      </c>
      <c r="H275" s="14">
        <f>IF(OR(F275="",G275="",AND(I275&lt;&gt;"W",I275&lt;&gt;"L")),"",IF(I275="W",IF(G275&gt;0,G275/100,1),IF(G275&lt;0,G275/100,-1)))</f>
        <v/>
      </c>
      <c r="I275" s="11" t="inlineStr">
        <is>
          <t>W</t>
        </is>
      </c>
      <c r="J275" s="10" t="inlineStr">
        <is>
          <t>EDM 4, WSH 7</t>
        </is>
      </c>
      <c r="K275" s="10" t="inlineStr">
        <is>
          <t>ESPN BET closing</t>
        </is>
      </c>
    </row>
    <row r="276">
      <c r="A276" s="9" t="n">
        <v>45980</v>
      </c>
      <c r="B276" s="10" t="inlineStr">
        <is>
          <t>CGY @ BUF</t>
        </is>
      </c>
      <c r="C276" s="13" t="n">
        <v>62.9</v>
      </c>
      <c r="D276" s="13" t="n">
        <v>84.53</v>
      </c>
      <c r="E276" s="13">
        <f>IF(OR(C276="",D276=""),"",ABS(C276-D276))</f>
        <v/>
      </c>
      <c r="F276" s="11" t="inlineStr">
        <is>
          <t>BUF</t>
        </is>
      </c>
      <c r="G276" s="12" t="n">
        <v>-150</v>
      </c>
      <c r="H276" s="14">
        <f>IF(OR(F276="",G276="",AND(I276&lt;&gt;"W",I276&lt;&gt;"L")),"",IF(I276="W",IF(G276&gt;0,G276/100,1),IF(G276&lt;0,G276/100,-1)))</f>
        <v/>
      </c>
      <c r="I276" s="11" t="inlineStr">
        <is>
          <t>L</t>
        </is>
      </c>
      <c r="J276" s="10" t="inlineStr">
        <is>
          <t>CGY 6, BUF 2</t>
        </is>
      </c>
      <c r="K276" s="10" t="inlineStr">
        <is>
          <t>ESPN BET closing</t>
        </is>
      </c>
    </row>
    <row r="277">
      <c r="A277" s="9" t="n">
        <v>45980</v>
      </c>
      <c r="B277" s="10" t="inlineStr">
        <is>
          <t>CAR @ MIN</t>
        </is>
      </c>
      <c r="C277" s="13" t="n">
        <v>89.27</v>
      </c>
      <c r="D277" s="13" t="n">
        <v>70.02</v>
      </c>
      <c r="E277" s="13">
        <f>IF(OR(C277="",D277=""),"",ABS(C277-D277))</f>
        <v/>
      </c>
      <c r="F277" s="11" t="inlineStr">
        <is>
          <t>CAR</t>
        </is>
      </c>
      <c r="G277" s="12" t="n">
        <v>-170</v>
      </c>
      <c r="H277" s="14">
        <f>IF(OR(F277="",G277="",AND(I277&lt;&gt;"W",I277&lt;&gt;"L")),"",IF(I277="W",IF(G277&gt;0,G277/100,1),IF(G277&lt;0,G277/100,-1)))</f>
        <v/>
      </c>
      <c r="I277" s="11" t="inlineStr">
        <is>
          <t>L</t>
        </is>
      </c>
      <c r="J277" s="10" t="inlineStr">
        <is>
          <t>CAR 3, MIN 4</t>
        </is>
      </c>
      <c r="K277" s="10" t="inlineStr">
        <is>
          <t>ESPN BET closing</t>
        </is>
      </c>
    </row>
    <row r="278">
      <c r="A278" s="9" t="n">
        <v>45980</v>
      </c>
      <c r="B278" s="10" t="inlineStr">
        <is>
          <t>BOS @ ANA</t>
        </is>
      </c>
      <c r="C278" s="13" t="n">
        <v>50.73</v>
      </c>
      <c r="D278" s="13" t="n">
        <v>74.73</v>
      </c>
      <c r="E278" s="13">
        <f>IF(OR(C278="",D278=""),"",ABS(C278-D278))</f>
        <v/>
      </c>
      <c r="F278" s="11" t="inlineStr">
        <is>
          <t>ANA</t>
        </is>
      </c>
      <c r="G278" s="12" t="n">
        <v>-175</v>
      </c>
      <c r="H278" s="14">
        <f>IF(OR(F278="",G278="",AND(I278&lt;&gt;"W",I278&lt;&gt;"L")),"",IF(I278="W",IF(G278&gt;0,G278/100,1),IF(G278&lt;0,G278/100,-1)))</f>
        <v/>
      </c>
      <c r="I278" s="11" t="inlineStr">
        <is>
          <t>W</t>
        </is>
      </c>
      <c r="J278" s="10" t="inlineStr">
        <is>
          <t>BOS 3, ANA 4</t>
        </is>
      </c>
      <c r="K278" s="10" t="inlineStr">
        <is>
          <t>ESPN BET closing</t>
        </is>
      </c>
    </row>
    <row r="279">
      <c r="A279" s="9" t="n">
        <v>45981</v>
      </c>
      <c r="B279" s="10" t="inlineStr">
        <is>
          <t>CBJ @ TOR</t>
        </is>
      </c>
      <c r="C279" s="13" t="n">
        <v>56.82</v>
      </c>
      <c r="D279" s="13" t="n">
        <v>68.22</v>
      </c>
      <c r="E279" s="13">
        <f>IF(OR(C279="",D279=""),"",ABS(C279-D279))</f>
        <v/>
      </c>
      <c r="F279" s="11" t="inlineStr">
        <is>
          <t>TOR</t>
        </is>
      </c>
      <c r="G279" s="12" t="n">
        <v>100</v>
      </c>
      <c r="H279" s="14">
        <f>IF(OR(F279="",G279="",AND(I279&lt;&gt;"W",I279&lt;&gt;"L")),"",IF(I279="W",IF(G279&gt;0,G279/100,1),IF(G279&lt;0,G279/100,-1)))</f>
        <v/>
      </c>
      <c r="I279" s="11" t="inlineStr">
        <is>
          <t>L</t>
        </is>
      </c>
      <c r="J279" s="10" t="inlineStr">
        <is>
          <t>CBJ 3, TOR 2</t>
        </is>
      </c>
      <c r="K279" s="10" t="inlineStr">
        <is>
          <t>ESPN BET closing</t>
        </is>
      </c>
    </row>
    <row r="280">
      <c r="A280" s="9" t="n">
        <v>45981</v>
      </c>
      <c r="B280" s="10" t="inlineStr">
        <is>
          <t>WSH @ MTL</t>
        </is>
      </c>
      <c r="C280" s="13" t="n">
        <v>64.59</v>
      </c>
      <c r="D280" s="13" t="n">
        <v>74.37</v>
      </c>
      <c r="E280" s="13">
        <f>IF(OR(C280="",D280=""),"",ABS(C280-D280))</f>
        <v/>
      </c>
      <c r="F280" s="11" t="inlineStr">
        <is>
          <t>MTL</t>
        </is>
      </c>
      <c r="G280" s="12" t="n">
        <v>-130</v>
      </c>
      <c r="H280" s="14">
        <f>IF(OR(F280="",G280="",AND(I280&lt;&gt;"W",I280&lt;&gt;"L")),"",IF(I280="W",IF(G280&gt;0,G280/100,1),IF(G280&lt;0,G280/100,-1)))</f>
        <v/>
      </c>
      <c r="I280" s="11" t="inlineStr">
        <is>
          <t>L</t>
        </is>
      </c>
      <c r="J280" s="10" t="inlineStr">
        <is>
          <t>WSH 8, MTL 4</t>
        </is>
      </c>
      <c r="K280" s="10" t="inlineStr">
        <is>
          <t>ESPN BET closing</t>
        </is>
      </c>
    </row>
    <row r="281">
      <c r="A281" s="9" t="n">
        <v>45981</v>
      </c>
      <c r="B281" s="10" t="inlineStr">
        <is>
          <t>NYI @ DET</t>
        </is>
      </c>
      <c r="C281" s="13" t="n">
        <v>69.23999999999999</v>
      </c>
      <c r="D281" s="13" t="n">
        <v>79.54000000000001</v>
      </c>
      <c r="E281" s="13">
        <f>IF(OR(C281="",D281=""),"",ABS(C281-D281))</f>
        <v/>
      </c>
      <c r="F281" s="11" t="inlineStr">
        <is>
          <t>DET</t>
        </is>
      </c>
      <c r="G281" s="12" t="n">
        <v>-125</v>
      </c>
      <c r="H281" s="14">
        <f>IF(OR(F281="",G281="",AND(I281&lt;&gt;"W",I281&lt;&gt;"L")),"",IF(I281="W",IF(G281&gt;0,G281/100,1),IF(G281&lt;0,G281/100,-1)))</f>
        <v/>
      </c>
      <c r="I281" s="11" t="inlineStr">
        <is>
          <t>L</t>
        </is>
      </c>
      <c r="J281" s="10" t="inlineStr">
        <is>
          <t>NYI 5, DET 0</t>
        </is>
      </c>
      <c r="K281" s="10" t="inlineStr">
        <is>
          <t>ESPN BET closing</t>
        </is>
      </c>
    </row>
    <row r="282">
      <c r="A282" s="9" t="n">
        <v>45981</v>
      </c>
      <c r="B282" s="10" t="inlineStr">
        <is>
          <t>NJD @ FLA</t>
        </is>
      </c>
      <c r="C282" s="13" t="n">
        <v>57.29</v>
      </c>
      <c r="D282" s="13" t="n">
        <v>84.52</v>
      </c>
      <c r="E282" s="13">
        <f>IF(OR(C282="",D282=""),"",ABS(C282-D282))</f>
        <v/>
      </c>
      <c r="F282" s="11" t="inlineStr">
        <is>
          <t>FLA</t>
        </is>
      </c>
      <c r="G282" s="12" t="n">
        <v>-150</v>
      </c>
      <c r="H282" s="14">
        <f>IF(OR(F282="",G282="",AND(I282&lt;&gt;"W",I282&lt;&gt;"L")),"",IF(I282="W",IF(G282&gt;0,G282/100,1),IF(G282&lt;0,G282/100,-1)))</f>
        <v/>
      </c>
      <c r="I282" s="11" t="inlineStr">
        <is>
          <t>W</t>
        </is>
      </c>
      <c r="J282" s="10" t="inlineStr">
        <is>
          <t>NJD 0, FLA 1</t>
        </is>
      </c>
      <c r="K282" s="10" t="inlineStr">
        <is>
          <t>ESPN BET closing</t>
        </is>
      </c>
    </row>
    <row r="283">
      <c r="A283" s="9" t="n">
        <v>45981</v>
      </c>
      <c r="B283" s="10" t="inlineStr">
        <is>
          <t>STL @ PHI</t>
        </is>
      </c>
      <c r="C283" s="13" t="n">
        <v>71.78</v>
      </c>
      <c r="D283" s="13" t="n">
        <v>50.5</v>
      </c>
      <c r="E283" s="13">
        <f>IF(OR(C283="",D283=""),"",ABS(C283-D283))</f>
        <v/>
      </c>
      <c r="F283" s="11" t="inlineStr">
        <is>
          <t>STL</t>
        </is>
      </c>
      <c r="G283" s="12" t="n">
        <v>105</v>
      </c>
      <c r="H283" s="14">
        <f>IF(OR(F283="",G283="",AND(I283&lt;&gt;"W",I283&lt;&gt;"L")),"",IF(I283="W",IF(G283&gt;0,G283/100,1),IF(G283&lt;0,G283/100,-1)))</f>
        <v/>
      </c>
      <c r="I283" s="11" t="inlineStr">
        <is>
          <t>L</t>
        </is>
      </c>
      <c r="J283" s="10" t="inlineStr">
        <is>
          <t>STL 2, PHI 3</t>
        </is>
      </c>
      <c r="K283" s="10" t="inlineStr">
        <is>
          <t>ESPN BET closing</t>
        </is>
      </c>
    </row>
    <row r="284">
      <c r="A284" s="9" t="n">
        <v>45981</v>
      </c>
      <c r="B284" s="10" t="inlineStr">
        <is>
          <t>EDM @ TBL</t>
        </is>
      </c>
      <c r="C284" s="13" t="n">
        <v>75.41</v>
      </c>
      <c r="D284" s="13" t="n">
        <v>82.70999999999999</v>
      </c>
      <c r="E284" s="13">
        <f>IF(OR(C284="",D284=""),"",ABS(C284-D284))</f>
        <v/>
      </c>
      <c r="F284" s="11" t="inlineStr">
        <is>
          <t>TBL</t>
        </is>
      </c>
      <c r="G284" s="12" t="n">
        <v>-170</v>
      </c>
      <c r="H284" s="14">
        <f>IF(OR(F284="",G284="",AND(I284&lt;&gt;"W",I284&lt;&gt;"L")),"",IF(I284="W",IF(G284&gt;0,G284/100,1),IF(G284&lt;0,G284/100,-1)))</f>
        <v/>
      </c>
      <c r="I284" s="11" t="inlineStr">
        <is>
          <t>W</t>
        </is>
      </c>
      <c r="J284" s="10" t="inlineStr">
        <is>
          <t>EDM 1, TBL 2</t>
        </is>
      </c>
      <c r="K284" s="10" t="inlineStr">
        <is>
          <t>ESPN BET closing</t>
        </is>
      </c>
    </row>
    <row r="285">
      <c r="A285" s="9" t="n">
        <v>45981</v>
      </c>
      <c r="B285" s="10" t="inlineStr">
        <is>
          <t>SEA @ CHI</t>
        </is>
      </c>
      <c r="C285" s="13" t="n">
        <v>60.46</v>
      </c>
      <c r="D285" s="13" t="n">
        <v>77.09999999999999</v>
      </c>
      <c r="E285" s="13">
        <f>IF(OR(C285="",D285=""),"",ABS(C285-D285))</f>
        <v/>
      </c>
      <c r="F285" s="11" t="inlineStr">
        <is>
          <t>CHI</t>
        </is>
      </c>
      <c r="G285" s="12" t="n">
        <v>-115</v>
      </c>
      <c r="H285" s="14">
        <f>IF(OR(F285="",G285="",AND(I285&lt;&gt;"W",I285&lt;&gt;"L")),"",IF(I285="W",IF(G285&gt;0,G285/100,1),IF(G285&lt;0,G285/100,-1)))</f>
        <v/>
      </c>
      <c r="I285" s="11" t="inlineStr">
        <is>
          <t>L</t>
        </is>
      </c>
      <c r="J285" s="10" t="inlineStr">
        <is>
          <t>SEA 3, CHI 2</t>
        </is>
      </c>
      <c r="K285" s="10" t="inlineStr">
        <is>
          <t>ESPN BET closing</t>
        </is>
      </c>
    </row>
    <row r="286">
      <c r="A286" s="9" t="n">
        <v>45981</v>
      </c>
      <c r="B286" s="10" t="inlineStr">
        <is>
          <t>NYR @ COL</t>
        </is>
      </c>
      <c r="C286" s="13" t="n">
        <v>67.84999999999999</v>
      </c>
      <c r="D286" s="13" t="n">
        <v>76.11</v>
      </c>
      <c r="E286" s="13">
        <f>IF(OR(C286="",D286=""),"",ABS(C286-D286))</f>
        <v/>
      </c>
      <c r="F286" s="11" t="inlineStr">
        <is>
          <t>COL</t>
        </is>
      </c>
      <c r="G286" s="12" t="n">
        <v>-190</v>
      </c>
      <c r="H286" s="14">
        <f>IF(OR(F286="",G286="",AND(I286&lt;&gt;"W",I286&lt;&gt;"L")),"",IF(I286="W",IF(G286&gt;0,G286/100,1),IF(G286&lt;0,G286/100,-1)))</f>
        <v/>
      </c>
      <c r="I286" s="11" t="inlineStr">
        <is>
          <t>W</t>
        </is>
      </c>
      <c r="J286" s="10" t="inlineStr">
        <is>
          <t>NYR 3, COL 6</t>
        </is>
      </c>
      <c r="K286" s="10" t="inlineStr">
        <is>
          <t>ESPN BET closing</t>
        </is>
      </c>
    </row>
    <row r="287">
      <c r="A287" s="9" t="n">
        <v>45981</v>
      </c>
      <c r="B287" s="10" t="inlineStr">
        <is>
          <t>VGK @ UTA</t>
        </is>
      </c>
      <c r="C287" s="13" t="n">
        <v>72.15000000000001</v>
      </c>
      <c r="D287" s="13" t="n">
        <v>72.34999999999999</v>
      </c>
      <c r="E287" s="13">
        <f>IF(OR(C287="",D287=""),"",ABS(C287-D287))</f>
        <v/>
      </c>
      <c r="F287" s="11" t="inlineStr">
        <is>
          <t>UTA</t>
        </is>
      </c>
      <c r="G287" s="12" t="n">
        <v>-110</v>
      </c>
      <c r="H287" s="14">
        <f>IF(OR(F287="",G287="",AND(I287&lt;&gt;"W",I287&lt;&gt;"L")),"",IF(I287="W",IF(G287&gt;0,G287/100,1),IF(G287&lt;0,G287/100,-1)))</f>
        <v/>
      </c>
      <c r="I287" s="11" t="inlineStr">
        <is>
          <t>L</t>
        </is>
      </c>
      <c r="J287" s="10" t="inlineStr">
        <is>
          <t>VGK 4, UTA 1</t>
        </is>
      </c>
      <c r="K287" s="10" t="inlineStr">
        <is>
          <t>ESPN BET closing</t>
        </is>
      </c>
    </row>
    <row r="288">
      <c r="A288" s="9" t="n">
        <v>45981</v>
      </c>
      <c r="B288" s="10" t="inlineStr">
        <is>
          <t>DAL @ VAN</t>
        </is>
      </c>
      <c r="C288" s="13" t="n">
        <v>70.76000000000001</v>
      </c>
      <c r="D288" s="13" t="n">
        <v>55.48</v>
      </c>
      <c r="E288" s="13">
        <f>IF(OR(C288="",D288=""),"",ABS(C288-D288))</f>
        <v/>
      </c>
      <c r="F288" s="11" t="inlineStr">
        <is>
          <t>DAL</t>
        </is>
      </c>
      <c r="G288" s="12" t="n">
        <v>-145</v>
      </c>
      <c r="H288" s="14">
        <f>IF(OR(F288="",G288="",AND(I288&lt;&gt;"W",I288&lt;&gt;"L")),"",IF(I288="W",IF(G288&gt;0,G288/100,1),IF(G288&lt;0,G288/100,-1)))</f>
        <v/>
      </c>
      <c r="I288" s="11" t="inlineStr">
        <is>
          <t>W</t>
        </is>
      </c>
      <c r="J288" s="10" t="inlineStr">
        <is>
          <t>DAL 4, VAN 2</t>
        </is>
      </c>
      <c r="K288" s="10" t="inlineStr">
        <is>
          <t>ESPN BET closing</t>
        </is>
      </c>
    </row>
    <row r="289">
      <c r="A289" s="9" t="n">
        <v>45981</v>
      </c>
      <c r="B289" s="10" t="inlineStr">
        <is>
          <t>OTT @ ANA</t>
        </is>
      </c>
      <c r="C289" s="13" t="n">
        <v>72.69</v>
      </c>
      <c r="D289" s="13" t="n">
        <v>71.94</v>
      </c>
      <c r="E289" s="13">
        <f>IF(OR(C289="",D289=""),"",ABS(C289-D289))</f>
        <v/>
      </c>
      <c r="F289" s="11" t="inlineStr">
        <is>
          <t>OTT</t>
        </is>
      </c>
      <c r="G289" s="12" t="n">
        <v>-145</v>
      </c>
      <c r="H289" s="14">
        <f>IF(OR(F289="",G289="",AND(I289&lt;&gt;"W",I289&lt;&gt;"L")),"",IF(I289="W",IF(G289&gt;0,G289/100,1),IF(G289&lt;0,G289/100,-1)))</f>
        <v/>
      </c>
      <c r="I289" s="11" t="inlineStr">
        <is>
          <t>W</t>
        </is>
      </c>
      <c r="J289" s="10" t="inlineStr">
        <is>
          <t>OTT 3, ANA 2</t>
        </is>
      </c>
      <c r="K289" s="10" t="inlineStr">
        <is>
          <t>ESPN BET closing</t>
        </is>
      </c>
    </row>
    <row r="290">
      <c r="A290" s="9" t="n">
        <v>45981</v>
      </c>
      <c r="B290" s="10" t="inlineStr">
        <is>
          <t>LAK @ SJS</t>
        </is>
      </c>
      <c r="C290" s="13" t="n">
        <v>68.14</v>
      </c>
      <c r="D290" s="13" t="n">
        <v>67.65000000000001</v>
      </c>
      <c r="E290" s="13">
        <f>IF(OR(C290="",D290=""),"",ABS(C290-D290))</f>
        <v/>
      </c>
      <c r="F290" s="11" t="inlineStr">
        <is>
          <t>LAK</t>
        </is>
      </c>
      <c r="G290" s="12" t="n">
        <v>-170</v>
      </c>
      <c r="H290" s="14">
        <f>IF(OR(F290="",G290="",AND(I290&lt;&gt;"W",I290&lt;&gt;"L")),"",IF(I290="W",IF(G290&gt;0,G290/100,1),IF(G290&lt;0,G290/100,-1)))</f>
        <v/>
      </c>
      <c r="I290" s="11" t="inlineStr">
        <is>
          <t>L</t>
        </is>
      </c>
      <c r="J290" s="10" t="inlineStr">
        <is>
          <t>LAK 3, SJS 4</t>
        </is>
      </c>
      <c r="K290" s="10" t="inlineStr">
        <is>
          <t>ESPN BET closing</t>
        </is>
      </c>
    </row>
    <row r="291">
      <c r="A291" s="9" t="n">
        <v>45982</v>
      </c>
      <c r="B291" s="10" t="inlineStr">
        <is>
          <t>CHI @ BUF</t>
        </is>
      </c>
      <c r="C291" s="13" t="n">
        <v>69.5</v>
      </c>
      <c r="D291" s="13" t="n">
        <v>51.21</v>
      </c>
      <c r="E291" s="13">
        <f>IF(OR(C291="",D291=""),"",ABS(C291-D291))</f>
        <v/>
      </c>
      <c r="F291" s="11" t="inlineStr">
        <is>
          <t>CHI</t>
        </is>
      </c>
      <c r="G291" s="12" t="n">
        <v>150</v>
      </c>
      <c r="H291" s="14">
        <f>IF(OR(F291="",G291="",AND(I291&lt;&gt;"W",I291&lt;&gt;"L")),"",IF(I291="W",IF(G291&gt;0,G291/100,1),IF(G291&lt;0,G291/100,-1)))</f>
        <v/>
      </c>
      <c r="I291" s="11" t="inlineStr">
        <is>
          <t>L</t>
        </is>
      </c>
      <c r="J291" s="10" t="inlineStr">
        <is>
          <t>CHI 3, BUF 9</t>
        </is>
      </c>
      <c r="K291" s="10" t="inlineStr">
        <is>
          <t>ESPN BET closing</t>
        </is>
      </c>
    </row>
    <row r="292">
      <c r="A292" s="9" t="n">
        <v>45982</v>
      </c>
      <c r="B292" s="10" t="inlineStr">
        <is>
          <t>MIN @ PIT</t>
        </is>
      </c>
      <c r="C292" s="13" t="n">
        <v>52.61</v>
      </c>
      <c r="D292" s="13" t="n">
        <v>84.16</v>
      </c>
      <c r="E292" s="13">
        <f>IF(OR(C292="",D292=""),"",ABS(C292-D292))</f>
        <v/>
      </c>
      <c r="F292" s="11" t="inlineStr">
        <is>
          <t>PIT</t>
        </is>
      </c>
      <c r="G292" s="12" t="n">
        <v>-125</v>
      </c>
      <c r="H292" s="14">
        <f>IF(OR(F292="",G292="",AND(I292&lt;&gt;"W",I292&lt;&gt;"L")),"",IF(I292="W",IF(G292&gt;0,G292/100,1),IF(G292&lt;0,G292/100,-1)))</f>
        <v/>
      </c>
      <c r="I292" s="11" t="inlineStr">
        <is>
          <t>L</t>
        </is>
      </c>
      <c r="J292" s="10" t="inlineStr">
        <is>
          <t>MIN 5, PIT 0</t>
        </is>
      </c>
      <c r="K292" s="10" t="inlineStr">
        <is>
          <t>ESPN BET closing</t>
        </is>
      </c>
    </row>
    <row r="293">
      <c r="A293" s="9" t="n">
        <v>45982</v>
      </c>
      <c r="B293" s="10" t="inlineStr">
        <is>
          <t>CAR @ WPG</t>
        </is>
      </c>
      <c r="C293" s="13" t="n">
        <v>87.39</v>
      </c>
      <c r="D293" s="13" t="n">
        <v>83.18000000000001</v>
      </c>
      <c r="E293" s="13">
        <f>IF(OR(C293="",D293=""),"",ABS(C293-D293))</f>
        <v/>
      </c>
      <c r="F293" s="11" t="inlineStr">
        <is>
          <t>CAR</t>
        </is>
      </c>
      <c r="G293" s="12" t="n">
        <v>-170</v>
      </c>
      <c r="H293" s="14">
        <f>IF(OR(F293="",G293="",AND(I293&lt;&gt;"W",I293&lt;&gt;"L")),"",IF(I293="W",IF(G293&gt;0,G293/100,1),IF(G293&lt;0,G293/100,-1)))</f>
        <v/>
      </c>
      <c r="I293" s="11" t="inlineStr">
        <is>
          <t>W</t>
        </is>
      </c>
      <c r="J293" s="10" t="inlineStr">
        <is>
          <t>CAR 4, WPG 3</t>
        </is>
      </c>
      <c r="K293" s="10" t="inlineStr">
        <is>
          <t>ESPN BET closing</t>
        </is>
      </c>
    </row>
    <row r="294">
      <c r="A294" s="9" t="n">
        <v>45982</v>
      </c>
      <c r="B294" s="10" t="inlineStr">
        <is>
          <t>BOS @ LAK</t>
        </is>
      </c>
      <c r="C294" s="13" t="n">
        <v>68.06</v>
      </c>
      <c r="D294" s="13" t="n">
        <v>74.79000000000001</v>
      </c>
      <c r="E294" s="13">
        <f>IF(OR(C294="",D294=""),"",ABS(C294-D294))</f>
        <v/>
      </c>
      <c r="F294" s="11" t="inlineStr">
        <is>
          <t>LAK</t>
        </is>
      </c>
      <c r="G294" s="12" t="n">
        <v>-185</v>
      </c>
      <c r="H294" s="14">
        <f>IF(OR(F294="",G294="",AND(I294&lt;&gt;"W",I294&lt;&gt;"L")),"",IF(I294="W",IF(G294&gt;0,G294/100,1),IF(G294&lt;0,G294/100,-1)))</f>
        <v/>
      </c>
      <c r="I294" s="11" t="inlineStr">
        <is>
          <t>L</t>
        </is>
      </c>
      <c r="J294" s="10" t="inlineStr">
        <is>
          <t>BOS 2, LAK 1</t>
        </is>
      </c>
      <c r="K294" s="10" t="inlineStr">
        <is>
          <t>ESPN BET closing</t>
        </is>
      </c>
    </row>
    <row r="295">
      <c r="A295" s="9" t="n">
        <v>45983</v>
      </c>
      <c r="B295" s="10" t="inlineStr">
        <is>
          <t>CBJ @ DET</t>
        </is>
      </c>
      <c r="C295" s="13" t="n">
        <v>73.38</v>
      </c>
      <c r="D295" s="13" t="n">
        <v>56.97</v>
      </c>
      <c r="E295" s="13">
        <f>IF(OR(C295="",D295=""),"",ABS(C295-D295))</f>
        <v/>
      </c>
      <c r="F295" s="11" t="inlineStr">
        <is>
          <t>CBJ</t>
        </is>
      </c>
      <c r="G295" s="12" t="n">
        <v>105</v>
      </c>
      <c r="H295" s="14">
        <f>IF(OR(F295="",G295="",AND(I295&lt;&gt;"W",I295&lt;&gt;"L")),"",IF(I295="W",IF(G295&gt;0,G295/100,1),IF(G295&lt;0,G295/100,-1)))</f>
        <v/>
      </c>
      <c r="I295" s="11" t="inlineStr">
        <is>
          <t>L</t>
        </is>
      </c>
      <c r="J295" s="10" t="inlineStr">
        <is>
          <t>CBJ 3, DET 4</t>
        </is>
      </c>
      <c r="K295" s="10" t="inlineStr">
        <is>
          <t>ESPN BET closing</t>
        </is>
      </c>
    </row>
    <row r="296">
      <c r="A296" s="9" t="n">
        <v>45983</v>
      </c>
      <c r="B296" s="10" t="inlineStr">
        <is>
          <t>STL @ NYI</t>
        </is>
      </c>
      <c r="C296" s="13" t="n">
        <v>64.78</v>
      </c>
      <c r="D296" s="13" t="n">
        <v>83.03</v>
      </c>
      <c r="E296" s="13">
        <f>IF(OR(C296="",D296=""),"",ABS(C296-D296))</f>
        <v/>
      </c>
      <c r="F296" s="11" t="inlineStr">
        <is>
          <t>NYI</t>
        </is>
      </c>
      <c r="G296" s="12" t="n">
        <v>-140</v>
      </c>
      <c r="H296" s="14">
        <f>IF(OR(F296="",G296="",AND(I296&lt;&gt;"W",I296&lt;&gt;"L")),"",IF(I296="W",IF(G296&gt;0,G296/100,1),IF(G296&lt;0,G296/100,-1)))</f>
        <v/>
      </c>
      <c r="I296" s="11" t="inlineStr">
        <is>
          <t>L</t>
        </is>
      </c>
      <c r="J296" s="10" t="inlineStr">
        <is>
          <t>STL 2, NYI 1</t>
        </is>
      </c>
      <c r="K296" s="10" t="inlineStr">
        <is>
          <t>ESPN BET closing</t>
        </is>
      </c>
    </row>
    <row r="297">
      <c r="A297" s="9" t="n">
        <v>45983</v>
      </c>
      <c r="B297" s="10" t="inlineStr">
        <is>
          <t>TOR @ MTL</t>
        </is>
      </c>
      <c r="C297" s="13" t="n">
        <v>66.62</v>
      </c>
      <c r="D297" s="13" t="n">
        <v>53.47</v>
      </c>
      <c r="E297" s="13">
        <f>IF(OR(C297="",D297=""),"",ABS(C297-D297))</f>
        <v/>
      </c>
      <c r="F297" s="11" t="inlineStr">
        <is>
          <t>TOR</t>
        </is>
      </c>
      <c r="G297" s="12" t="n">
        <v>120</v>
      </c>
      <c r="H297" s="14">
        <f>IF(OR(F297="",G297="",AND(I297&lt;&gt;"W",I297&lt;&gt;"L")),"",IF(I297="W",IF(G297&gt;0,G297/100,1),IF(G297&lt;0,G297/100,-1)))</f>
        <v/>
      </c>
      <c r="I297" s="11" t="inlineStr">
        <is>
          <t>L</t>
        </is>
      </c>
      <c r="J297" s="10" t="inlineStr">
        <is>
          <t>TOR 2, MTL 5</t>
        </is>
      </c>
      <c r="K297" s="10" t="inlineStr">
        <is>
          <t>ESPN BET closing</t>
        </is>
      </c>
    </row>
    <row r="298">
      <c r="A298" s="9" t="n">
        <v>45983</v>
      </c>
      <c r="B298" s="10" t="inlineStr">
        <is>
          <t>EDM @ FLA</t>
        </is>
      </c>
      <c r="C298" s="13" t="n">
        <v>67.47</v>
      </c>
      <c r="D298" s="13" t="n">
        <v>80.47</v>
      </c>
      <c r="E298" s="13">
        <f>IF(OR(C298="",D298=""),"",ABS(C298-D298))</f>
        <v/>
      </c>
      <c r="F298" s="11" t="inlineStr">
        <is>
          <t>FLA</t>
        </is>
      </c>
      <c r="G298" s="12" t="n">
        <v>-125</v>
      </c>
      <c r="H298" s="14">
        <f>IF(OR(F298="",G298="",AND(I298&lt;&gt;"W",I298&lt;&gt;"L")),"",IF(I298="W",IF(G298&gt;0,G298/100,1),IF(G298&lt;0,G298/100,-1)))</f>
        <v/>
      </c>
      <c r="I298" s="11" t="inlineStr">
        <is>
          <t>L</t>
        </is>
      </c>
      <c r="J298" s="10" t="inlineStr">
        <is>
          <t>EDM 6, FLA 3</t>
        </is>
      </c>
      <c r="K298" s="10" t="inlineStr">
        <is>
          <t>ESPN BET closing</t>
        </is>
      </c>
    </row>
    <row r="299">
      <c r="A299" s="9" t="n">
        <v>45983</v>
      </c>
      <c r="B299" s="10" t="inlineStr">
        <is>
          <t>NJD @ PHI</t>
        </is>
      </c>
      <c r="C299" s="13" t="n">
        <v>59.53</v>
      </c>
      <c r="D299" s="13" t="n">
        <v>75.22</v>
      </c>
      <c r="E299" s="13">
        <f>IF(OR(C299="",D299=""),"",ABS(C299-D299))</f>
        <v/>
      </c>
      <c r="F299" s="11" t="inlineStr">
        <is>
          <t>PHI</t>
        </is>
      </c>
      <c r="G299" s="12" t="n">
        <v>-110</v>
      </c>
      <c r="H299" s="14">
        <f>IF(OR(F299="",G299="",AND(I299&lt;&gt;"W",I299&lt;&gt;"L")),"",IF(I299="W",IF(G299&gt;0,G299/100,1),IF(G299&lt;0,G299/100,-1)))</f>
        <v/>
      </c>
      <c r="I299" s="11" t="inlineStr">
        <is>
          <t>W</t>
        </is>
      </c>
      <c r="J299" s="10" t="inlineStr">
        <is>
          <t>NJD 3, PHI 6</t>
        </is>
      </c>
      <c r="K299" s="10" t="inlineStr">
        <is>
          <t>ESPN BET closing</t>
        </is>
      </c>
    </row>
    <row r="300">
      <c r="A300" s="9" t="n">
        <v>45983</v>
      </c>
      <c r="B300" s="10" t="inlineStr">
        <is>
          <t>SEA @ PIT</t>
        </is>
      </c>
      <c r="C300" s="13" t="n">
        <v>70.5</v>
      </c>
      <c r="D300" s="13" t="n">
        <v>51.59</v>
      </c>
      <c r="E300" s="13">
        <f>IF(OR(C300="",D300=""),"",ABS(C300-D300))</f>
        <v/>
      </c>
      <c r="F300" s="11" t="inlineStr">
        <is>
          <t>SEA</t>
        </is>
      </c>
      <c r="G300" s="12" t="n">
        <v>105</v>
      </c>
      <c r="H300" s="14">
        <f>IF(OR(F300="",G300="",AND(I300&lt;&gt;"W",I300&lt;&gt;"L")),"",IF(I300="W",IF(G300&gt;0,G300/100,1),IF(G300&lt;0,G300/100,-1)))</f>
        <v/>
      </c>
      <c r="I300" s="11" t="inlineStr">
        <is>
          <t>W</t>
        </is>
      </c>
      <c r="J300" s="10" t="inlineStr">
        <is>
          <t>SEA 3, PIT 2</t>
        </is>
      </c>
      <c r="K300" s="10" t="inlineStr">
        <is>
          <t>ESPN BET closing</t>
        </is>
      </c>
    </row>
    <row r="301">
      <c r="A301" s="9" t="n">
        <v>45983</v>
      </c>
      <c r="B301" s="10" t="inlineStr">
        <is>
          <t>TBL @ WSH</t>
        </is>
      </c>
      <c r="C301" s="13" t="n">
        <v>72.53</v>
      </c>
      <c r="D301" s="13" t="n">
        <v>86.53</v>
      </c>
      <c r="E301" s="13">
        <f>IF(OR(C301="",D301=""),"",ABS(C301-D301))</f>
        <v/>
      </c>
      <c r="F301" s="11" t="inlineStr">
        <is>
          <t>WSH</t>
        </is>
      </c>
      <c r="G301" s="12" t="n">
        <v>-120</v>
      </c>
      <c r="H301" s="14">
        <f>IF(OR(F301="",G301="",AND(I301&lt;&gt;"W",I301&lt;&gt;"L")),"",IF(I301="W",IF(G301&gt;0,G301/100,1),IF(G301&lt;0,G301/100,-1)))</f>
        <v/>
      </c>
      <c r="I301" s="11" t="inlineStr">
        <is>
          <t>L</t>
        </is>
      </c>
      <c r="J301" s="10" t="inlineStr">
        <is>
          <t>TBL 5, WSH 3</t>
        </is>
      </c>
      <c r="K301" s="10" t="inlineStr">
        <is>
          <t>ESPN BET closing</t>
        </is>
      </c>
    </row>
    <row r="302">
      <c r="A302" s="9" t="n">
        <v>45983</v>
      </c>
      <c r="B302" s="10" t="inlineStr">
        <is>
          <t>OTT @ SJS</t>
        </is>
      </c>
      <c r="C302" s="13" t="n">
        <v>77.16</v>
      </c>
      <c r="D302" s="13" t="n">
        <v>65.20999999999999</v>
      </c>
      <c r="E302" s="13">
        <f>IF(OR(C302="",D302=""),"",ABS(C302-D302))</f>
        <v/>
      </c>
      <c r="F302" s="11" t="inlineStr">
        <is>
          <t>OTT</t>
        </is>
      </c>
      <c r="G302" s="12" t="n">
        <v>-165</v>
      </c>
      <c r="H302" s="14">
        <f>IF(OR(F302="",G302="",AND(I302&lt;&gt;"W",I302&lt;&gt;"L")),"",IF(I302="W",IF(G302&gt;0,G302/100,1),IF(G302&lt;0,G302/100,-1)))</f>
        <v/>
      </c>
      <c r="I302" s="11" t="inlineStr">
        <is>
          <t>W</t>
        </is>
      </c>
      <c r="J302" s="10" t="inlineStr">
        <is>
          <t>OTT 3, SJS 2</t>
        </is>
      </c>
      <c r="K302" s="10" t="inlineStr">
        <is>
          <t>ESPN BET closing</t>
        </is>
      </c>
    </row>
    <row r="303">
      <c r="A303" s="9" t="n">
        <v>45983</v>
      </c>
      <c r="B303" s="10" t="inlineStr">
        <is>
          <t>COL @ NSH</t>
        </is>
      </c>
      <c r="C303" s="13" t="n">
        <v>84.16</v>
      </c>
      <c r="D303" s="13" t="n">
        <v>55.84</v>
      </c>
      <c r="E303" s="13">
        <f>IF(OR(C303="",D303=""),"",ABS(C303-D303))</f>
        <v/>
      </c>
      <c r="F303" s="11" t="inlineStr">
        <is>
          <t>COL</t>
        </is>
      </c>
      <c r="G303" s="12" t="n">
        <v>-225</v>
      </c>
      <c r="H303" s="14">
        <f>IF(OR(F303="",G303="",AND(I303&lt;&gt;"W",I303&lt;&gt;"L")),"",IF(I303="W",IF(G303&gt;0,G303/100,1),IF(G303&lt;0,G303/100,-1)))</f>
        <v/>
      </c>
      <c r="I303" s="11" t="inlineStr">
        <is>
          <t>W</t>
        </is>
      </c>
      <c r="J303" s="10" t="inlineStr">
        <is>
          <t>COL 3, NSH 0</t>
        </is>
      </c>
      <c r="K303" s="10" t="inlineStr">
        <is>
          <t>ESPN BET closing</t>
        </is>
      </c>
    </row>
    <row r="304">
      <c r="A304" s="9" t="n">
        <v>45983</v>
      </c>
      <c r="B304" s="10" t="inlineStr">
        <is>
          <t>NYR @ UTA</t>
        </is>
      </c>
      <c r="C304" s="13" t="n">
        <v>55.84</v>
      </c>
      <c r="D304" s="13" t="n">
        <v>61.37</v>
      </c>
      <c r="E304" s="13">
        <f>IF(OR(C304="",D304=""),"",ABS(C304-D304))</f>
        <v/>
      </c>
      <c r="F304" s="11" t="inlineStr">
        <is>
          <t>UTA</t>
        </is>
      </c>
      <c r="G304" s="12" t="n">
        <v>-140</v>
      </c>
      <c r="H304" s="14">
        <f>IF(OR(F304="",G304="",AND(I304&lt;&gt;"W",I304&lt;&gt;"L")),"",IF(I304="W",IF(G304&gt;0,G304/100,1),IF(G304&lt;0,G304/100,-1)))</f>
        <v/>
      </c>
      <c r="I304" s="11" t="inlineStr">
        <is>
          <t>W</t>
        </is>
      </c>
      <c r="J304" s="10" t="inlineStr">
        <is>
          <t>NYR 2, UTA 3</t>
        </is>
      </c>
      <c r="K304" s="10" t="inlineStr">
        <is>
          <t>ESPN BET closing</t>
        </is>
      </c>
    </row>
    <row r="305">
      <c r="A305" s="9" t="n">
        <v>45983</v>
      </c>
      <c r="B305" s="10" t="inlineStr">
        <is>
          <t>DAL @ CGY</t>
        </is>
      </c>
      <c r="C305" s="13" t="n">
        <v>69.97</v>
      </c>
      <c r="D305" s="13" t="n">
        <v>88.79000000000001</v>
      </c>
      <c r="E305" s="13">
        <f>IF(OR(C305="",D305=""),"",ABS(C305-D305))</f>
        <v/>
      </c>
      <c r="F305" s="11" t="inlineStr">
        <is>
          <t>CGY</t>
        </is>
      </c>
      <c r="G305" s="12" t="n">
        <v>115</v>
      </c>
      <c r="H305" s="14">
        <f>IF(OR(F305="",G305="",AND(I305&lt;&gt;"W",I305&lt;&gt;"L")),"",IF(I305="W",IF(G305&gt;0,G305/100,1),IF(G305&lt;0,G305/100,-1)))</f>
        <v/>
      </c>
      <c r="I305" s="11" t="inlineStr">
        <is>
          <t>W</t>
        </is>
      </c>
      <c r="J305" s="10" t="inlineStr">
        <is>
          <t>DAL 2, CGY 3</t>
        </is>
      </c>
      <c r="K305" s="10" t="inlineStr">
        <is>
          <t>ESPN BET closing</t>
        </is>
      </c>
    </row>
    <row r="306">
      <c r="A306" s="9" t="n">
        <v>45983</v>
      </c>
      <c r="B306" s="10" t="inlineStr">
        <is>
          <t>VGK @ ANA</t>
        </is>
      </c>
      <c r="C306" s="13" t="n">
        <v>78.63</v>
      </c>
      <c r="D306" s="13" t="n">
        <v>62.84</v>
      </c>
      <c r="E306" s="13">
        <f>IF(OR(C306="",D306=""),"",ABS(C306-D306))</f>
        <v/>
      </c>
      <c r="F306" s="11" t="inlineStr">
        <is>
          <t>VGK</t>
        </is>
      </c>
      <c r="G306" s="12" t="n">
        <v>-145</v>
      </c>
      <c r="H306" s="14">
        <f>IF(OR(F306="",G306="",AND(I306&lt;&gt;"W",I306&lt;&gt;"L")),"",IF(I306="W",IF(G306&gt;0,G306/100,1),IF(G306&lt;0,G306/100,-1)))</f>
        <v/>
      </c>
      <c r="I306" s="11" t="inlineStr">
        <is>
          <t>L</t>
        </is>
      </c>
      <c r="J306" s="10" t="inlineStr">
        <is>
          <t>VGK 3, ANA 4</t>
        </is>
      </c>
      <c r="K306" s="10" t="inlineStr">
        <is>
          <t>ESPN BET closing</t>
        </is>
      </c>
    </row>
    <row r="307">
      <c r="A307" s="9" t="n">
        <v>45984</v>
      </c>
      <c r="B307" s="10" t="inlineStr">
        <is>
          <t>CAR @ BUF</t>
        </is>
      </c>
      <c r="C307" s="13" t="n">
        <v>73.84</v>
      </c>
      <c r="D307" s="13" t="n">
        <v>94.27</v>
      </c>
      <c r="E307" s="13">
        <f>IF(OR(C307="",D307=""),"",ABS(C307-D307))</f>
        <v/>
      </c>
      <c r="F307" s="11" t="inlineStr">
        <is>
          <t>BUF</t>
        </is>
      </c>
      <c r="G307" s="12" t="n">
        <v>160</v>
      </c>
      <c r="H307" s="14">
        <f>IF(OR(F307="",G307="",AND(I307&lt;&gt;"W",I307&lt;&gt;"L")),"",IF(I307="W",IF(G307&gt;0,G307/100,1),IF(G307&lt;0,G307/100,-1)))</f>
        <v/>
      </c>
      <c r="I307" s="11" t="inlineStr">
        <is>
          <t>W</t>
        </is>
      </c>
      <c r="J307" s="10" t="inlineStr">
        <is>
          <t>CAR 1, BUF 4</t>
        </is>
      </c>
      <c r="K307" s="10" t="inlineStr">
        <is>
          <t>ESPN BET closing</t>
        </is>
      </c>
    </row>
    <row r="308">
      <c r="A308" s="9" t="n">
        <v>45984</v>
      </c>
      <c r="B308" s="10" t="inlineStr">
        <is>
          <t>MIN @ WPG</t>
        </is>
      </c>
      <c r="C308" s="13" t="n">
        <v>88.41</v>
      </c>
      <c r="D308" s="13" t="n">
        <v>66.16</v>
      </c>
      <c r="E308" s="13">
        <f>IF(OR(C308="",D308=""),"",ABS(C308-D308))</f>
        <v/>
      </c>
      <c r="F308" s="11" t="inlineStr">
        <is>
          <t>MIN</t>
        </is>
      </c>
      <c r="G308" s="12" t="n">
        <v>110</v>
      </c>
      <c r="H308" s="14">
        <f>IF(OR(F308="",G308="",AND(I308&lt;&gt;"W",I308&lt;&gt;"L")),"",IF(I308="W",IF(G308&gt;0,G308/100,1),IF(G308&lt;0,G308/100,-1)))</f>
        <v/>
      </c>
      <c r="I308" s="11" t="inlineStr">
        <is>
          <t>W</t>
        </is>
      </c>
      <c r="J308" s="10" t="inlineStr">
        <is>
          <t>MIN 3, WPG 0</t>
        </is>
      </c>
      <c r="K308" s="10" t="inlineStr">
        <is>
          <t>ESPN BET closing</t>
        </is>
      </c>
    </row>
    <row r="309">
      <c r="A309" s="9" t="n">
        <v>45984</v>
      </c>
      <c r="B309" s="10" t="inlineStr">
        <is>
          <t>SEA @ NYI</t>
        </is>
      </c>
      <c r="C309" s="13" t="n">
        <v>68.23</v>
      </c>
      <c r="D309" s="13" t="n">
        <v>65.76000000000001</v>
      </c>
      <c r="E309" s="13">
        <f>IF(OR(C309="",D309=""),"",ABS(C309-D309))</f>
        <v/>
      </c>
      <c r="F309" s="11" t="inlineStr">
        <is>
          <t>SEA</t>
        </is>
      </c>
      <c r="G309" s="12" t="n">
        <v>130</v>
      </c>
      <c r="H309" s="14">
        <f>IF(OR(F309="",G309="",AND(I309&lt;&gt;"W",I309&lt;&gt;"L")),"",IF(I309="W",IF(G309&gt;0,G309/100,1),IF(G309&lt;0,G309/100,-1)))</f>
        <v/>
      </c>
      <c r="I309" s="11" t="inlineStr">
        <is>
          <t>L</t>
        </is>
      </c>
      <c r="J309" s="10" t="inlineStr">
        <is>
          <t>SEA 0, NYI 1</t>
        </is>
      </c>
      <c r="K309" s="10" t="inlineStr">
        <is>
          <t>ESPN BET closing</t>
        </is>
      </c>
    </row>
    <row r="310">
      <c r="A310" s="9" t="n">
        <v>45984</v>
      </c>
      <c r="B310" s="10" t="inlineStr">
        <is>
          <t>COL @ CHI</t>
        </is>
      </c>
      <c r="C310" s="13" t="n">
        <v>66.26000000000001</v>
      </c>
      <c r="D310" s="13" t="n">
        <v>45.73</v>
      </c>
      <c r="E310" s="13">
        <f>IF(OR(C310="",D310=""),"",ABS(C310-D310))</f>
        <v/>
      </c>
      <c r="F310" s="11" t="inlineStr">
        <is>
          <t>COL</t>
        </is>
      </c>
      <c r="G310" s="12" t="n">
        <v>-215</v>
      </c>
      <c r="H310" s="14">
        <f>IF(OR(F310="",G310="",AND(I310&lt;&gt;"W",I310&lt;&gt;"L")),"",IF(I310="W",IF(G310&gt;0,G310/100,1),IF(G310&lt;0,G310/100,-1)))</f>
        <v/>
      </c>
      <c r="I310" s="11" t="inlineStr">
        <is>
          <t>W</t>
        </is>
      </c>
      <c r="J310" s="10" t="inlineStr">
        <is>
          <t>COL 1, CHI 0</t>
        </is>
      </c>
      <c r="K310" s="10" t="inlineStr">
        <is>
          <t>ESPN BET closing</t>
        </is>
      </c>
    </row>
    <row r="311">
      <c r="A311" s="9" t="n">
        <v>45984</v>
      </c>
      <c r="B311" s="10" t="inlineStr">
        <is>
          <t>BOS @ SJS</t>
        </is>
      </c>
      <c r="C311" s="13" t="n">
        <v>70.41</v>
      </c>
      <c r="D311" s="13" t="n">
        <v>59.29</v>
      </c>
      <c r="E311" s="13">
        <f>IF(OR(C311="",D311=""),"",ABS(C311-D311))</f>
        <v/>
      </c>
      <c r="F311" s="11" t="inlineStr">
        <is>
          <t>BOS</t>
        </is>
      </c>
      <c r="G311" s="12" t="n">
        <v>-125</v>
      </c>
      <c r="H311" s="14">
        <f>IF(OR(F311="",G311="",AND(I311&lt;&gt;"W",I311&lt;&gt;"L")),"",IF(I311="W",IF(G311&gt;0,G311/100,1),IF(G311&lt;0,G311/100,-1)))</f>
        <v/>
      </c>
      <c r="I311" s="11" t="inlineStr">
        <is>
          <t>L</t>
        </is>
      </c>
      <c r="J311" s="10" t="inlineStr">
        <is>
          <t>BOS 1, SJS 3</t>
        </is>
      </c>
      <c r="K311" s="10" t="inlineStr">
        <is>
          <t>ESPN BET closing</t>
        </is>
      </c>
    </row>
    <row r="312">
      <c r="A312" s="9" t="n">
        <v>45984</v>
      </c>
      <c r="B312" s="10" t="inlineStr">
        <is>
          <t>CGY @ VAN</t>
        </is>
      </c>
      <c r="C312" s="13" t="n">
        <v>74.33</v>
      </c>
      <c r="D312" s="13" t="n">
        <v>70.03</v>
      </c>
      <c r="E312" s="13">
        <f>IF(OR(C312="",D312=""),"",ABS(C312-D312))</f>
        <v/>
      </c>
      <c r="F312" s="11" t="inlineStr">
        <is>
          <t>CGY</t>
        </is>
      </c>
      <c r="G312" s="12" t="n">
        <v>115</v>
      </c>
      <c r="H312" s="14">
        <f>IF(OR(F312="",G312="",AND(I312&lt;&gt;"W",I312&lt;&gt;"L")),"",IF(I312="W",IF(G312&gt;0,G312/100,1),IF(G312&lt;0,G312/100,-1)))</f>
        <v/>
      </c>
      <c r="I312" s="11" t="inlineStr">
        <is>
          <t>W</t>
        </is>
      </c>
      <c r="J312" s="10" t="inlineStr">
        <is>
          <t>CGY 5, VAN 2</t>
        </is>
      </c>
      <c r="K312" s="10" t="inlineStr">
        <is>
          <t>ESPN BET closing</t>
        </is>
      </c>
    </row>
    <row r="313">
      <c r="A313" s="9" t="n">
        <v>45985</v>
      </c>
      <c r="B313" s="10" t="inlineStr">
        <is>
          <t>PHI @ TBL</t>
        </is>
      </c>
      <c r="C313" s="13" t="n">
        <v>75.41</v>
      </c>
      <c r="D313" s="13" t="n">
        <v>65.19</v>
      </c>
      <c r="E313" s="13">
        <f>IF(OR(C313="",D313=""),"",ABS(C313-D313))</f>
        <v/>
      </c>
      <c r="F313" s="11" t="inlineStr">
        <is>
          <t>PHI</t>
        </is>
      </c>
      <c r="G313" s="12" t="n">
        <v>155</v>
      </c>
      <c r="H313" s="14">
        <f>IF(OR(F313="",G313="",AND(I313&lt;&gt;"W",I313&lt;&gt;"L")),"",IF(I313="W",IF(G313&gt;0,G313/100,1),IF(G313&lt;0,G313/100,-1)))</f>
        <v/>
      </c>
      <c r="I313" s="11" t="inlineStr">
        <is>
          <t>L</t>
        </is>
      </c>
      <c r="J313" s="10" t="inlineStr">
        <is>
          <t>PHI 0, TBL 3</t>
        </is>
      </c>
      <c r="K313" s="10" t="inlineStr">
        <is>
          <t>ESPN BET closing</t>
        </is>
      </c>
    </row>
    <row r="314">
      <c r="A314" s="9" t="n">
        <v>45985</v>
      </c>
      <c r="B314" s="10" t="inlineStr">
        <is>
          <t>DET @ NJD</t>
        </is>
      </c>
      <c r="C314" s="13" t="n">
        <v>70.27</v>
      </c>
      <c r="D314" s="13" t="n">
        <v>64.59</v>
      </c>
      <c r="E314" s="13">
        <f>IF(OR(C314="",D314=""),"",ABS(C314-D314))</f>
        <v/>
      </c>
      <c r="F314" s="11" t="inlineStr">
        <is>
          <t>DET</t>
        </is>
      </c>
      <c r="G314" s="12" t="n">
        <v>110</v>
      </c>
      <c r="H314" s="14">
        <f>IF(OR(F314="",G314="",AND(I314&lt;&gt;"W",I314&lt;&gt;"L")),"",IF(I314="W",IF(G314&gt;0,G314/100,1),IF(G314&lt;0,G314/100,-1)))</f>
        <v/>
      </c>
      <c r="I314" s="11" t="inlineStr">
        <is>
          <t>L</t>
        </is>
      </c>
      <c r="J314" s="10" t="inlineStr">
        <is>
          <t>DET 3, NJD 4</t>
        </is>
      </c>
      <c r="K314" s="10" t="inlineStr">
        <is>
          <t>ESPN BET closing</t>
        </is>
      </c>
    </row>
    <row r="315">
      <c r="A315" s="9" t="n">
        <v>45985</v>
      </c>
      <c r="B315" s="10" t="inlineStr">
        <is>
          <t>STL @ NYR</t>
        </is>
      </c>
      <c r="C315" s="13" t="n">
        <v>74.23999999999999</v>
      </c>
      <c r="D315" s="13" t="n">
        <v>62.54</v>
      </c>
      <c r="E315" s="13">
        <f>IF(OR(C315="",D315=""),"",ABS(C315-D315))</f>
        <v/>
      </c>
      <c r="F315" s="11" t="inlineStr">
        <is>
          <t>STL</t>
        </is>
      </c>
      <c r="G315" s="12" t="n">
        <v>120</v>
      </c>
      <c r="H315" s="14">
        <f>IF(OR(F315="",G315="",AND(I315&lt;&gt;"W",I315&lt;&gt;"L")),"",IF(I315="W",IF(G315&gt;0,G315/100,1),IF(G315&lt;0,G315/100,-1)))</f>
        <v/>
      </c>
      <c r="I315" s="11" t="inlineStr">
        <is>
          <t>L</t>
        </is>
      </c>
      <c r="J315" s="10" t="inlineStr">
        <is>
          <t>STL 2, NYR 3</t>
        </is>
      </c>
      <c r="K315" s="10" t="inlineStr">
        <is>
          <t>ESPN BET closing</t>
        </is>
      </c>
    </row>
    <row r="316">
      <c r="A316" s="9" t="n">
        <v>45985</v>
      </c>
      <c r="B316" s="10" t="inlineStr">
        <is>
          <t>CBJ @ WSH</t>
        </is>
      </c>
      <c r="C316" s="13" t="n">
        <v>69.73</v>
      </c>
      <c r="D316" s="13" t="n">
        <v>74.81</v>
      </c>
      <c r="E316" s="13">
        <f>IF(OR(C316="",D316=""),"",ABS(C316-D316))</f>
        <v/>
      </c>
      <c r="F316" s="11" t="inlineStr">
        <is>
          <t>WSH</t>
        </is>
      </c>
      <c r="G316" s="12" t="n">
        <v>-170</v>
      </c>
      <c r="H316" s="14">
        <f>IF(OR(F316="",G316="",AND(I316&lt;&gt;"W",I316&lt;&gt;"L")),"",IF(I316="W",IF(G316&gt;0,G316/100,1),IF(G316&lt;0,G316/100,-1)))</f>
        <v/>
      </c>
      <c r="I316" s="11" t="inlineStr">
        <is>
          <t>W</t>
        </is>
      </c>
      <c r="J316" s="10" t="inlineStr">
        <is>
          <t>CBJ 1, WSH 5</t>
        </is>
      </c>
      <c r="K316" s="10" t="inlineStr">
        <is>
          <t>ESPN BET closing</t>
        </is>
      </c>
    </row>
    <row r="317">
      <c r="A317" s="9" t="n">
        <v>45985</v>
      </c>
      <c r="B317" s="10" t="inlineStr">
        <is>
          <t>FLA @ NSH</t>
        </is>
      </c>
      <c r="C317" s="13" t="n">
        <v>68.05</v>
      </c>
      <c r="D317" s="13" t="n">
        <v>73.73999999999999</v>
      </c>
      <c r="E317" s="13">
        <f>IF(OR(C317="",D317=""),"",ABS(C317-D317))</f>
        <v/>
      </c>
      <c r="F317" s="11" t="inlineStr">
        <is>
          <t>NSH</t>
        </is>
      </c>
      <c r="G317" s="12" t="n">
        <v>115</v>
      </c>
      <c r="H317" s="14">
        <f>IF(OR(F317="",G317="",AND(I317&lt;&gt;"W",I317&lt;&gt;"L")),"",IF(I317="W",IF(G317&gt;0,G317/100,1),IF(G317&lt;0,G317/100,-1)))</f>
        <v/>
      </c>
      <c r="I317" s="11" t="inlineStr">
        <is>
          <t>L</t>
        </is>
      </c>
      <c r="J317" s="10" t="inlineStr">
        <is>
          <t>FLA 8, NSH 3</t>
        </is>
      </c>
      <c r="K317" s="10" t="inlineStr">
        <is>
          <t>ESPN BET closing</t>
        </is>
      </c>
    </row>
    <row r="318">
      <c r="A318" s="9" t="n">
        <v>45985</v>
      </c>
      <c r="B318" s="10" t="inlineStr">
        <is>
          <t>VGK @ UTA</t>
        </is>
      </c>
      <c r="C318" s="13" t="n">
        <v>64.87</v>
      </c>
      <c r="D318" s="13" t="n">
        <v>77.45999999999999</v>
      </c>
      <c r="E318" s="13">
        <f>IF(OR(C318="",D318=""),"",ABS(C318-D318))</f>
        <v/>
      </c>
      <c r="F318" s="11" t="inlineStr">
        <is>
          <t>UTA</t>
        </is>
      </c>
      <c r="G318" s="12" t="n">
        <v>-110</v>
      </c>
      <c r="H318" s="14">
        <f>IF(OR(F318="",G318="",AND(I318&lt;&gt;"W",I318&lt;&gt;"L")),"",IF(I318="W",IF(G318&gt;0,G318/100,1),IF(G318&lt;0,G318/100,-1)))</f>
        <v/>
      </c>
      <c r="I318" s="11" t="inlineStr">
        <is>
          <t>W</t>
        </is>
      </c>
      <c r="J318" s="10" t="inlineStr">
        <is>
          <t>VGK 1, UTA 5</t>
        </is>
      </c>
      <c r="K318" s="10" t="inlineStr">
        <is>
          <t>ESPN BET closing</t>
        </is>
      </c>
    </row>
    <row r="319">
      <c r="A319" s="9" t="n">
        <v>45985</v>
      </c>
      <c r="B319" s="10" t="inlineStr">
        <is>
          <t>OTT @ LAK</t>
        </is>
      </c>
      <c r="C319" s="13" t="n">
        <v>80.70999999999999</v>
      </c>
      <c r="D319" s="13" t="n">
        <v>69.59</v>
      </c>
      <c r="E319" s="13">
        <f>IF(OR(C319="",D319=""),"",ABS(C319-D319))</f>
        <v/>
      </c>
      <c r="F319" s="11" t="inlineStr">
        <is>
          <t>OTT</t>
        </is>
      </c>
      <c r="G319" s="12" t="n">
        <v>140</v>
      </c>
      <c r="H319" s="14">
        <f>IF(OR(F319="",G319="",AND(I319&lt;&gt;"W",I319&lt;&gt;"L")),"",IF(I319="W",IF(G319&gt;0,G319/100,1),IF(G319&lt;0,G319/100,-1)))</f>
        <v/>
      </c>
      <c r="I319" s="11" t="inlineStr">
        <is>
          <t>L</t>
        </is>
      </c>
      <c r="J319" s="10" t="inlineStr">
        <is>
          <t>OTT 1, LAK 2</t>
        </is>
      </c>
      <c r="K319" s="10" t="inlineStr">
        <is>
          <t>ESPN BET closing</t>
        </is>
      </c>
    </row>
    <row r="320">
      <c r="A320" s="9" t="n">
        <v>45986</v>
      </c>
      <c r="B320" s="10" t="inlineStr">
        <is>
          <t>DAL @ EDM</t>
        </is>
      </c>
      <c r="C320" s="13" t="n">
        <v>65.67</v>
      </c>
      <c r="D320" s="13" t="n">
        <v>71.95</v>
      </c>
      <c r="E320" s="13">
        <f>IF(OR(C320="",D320=""),"",ABS(C320-D320))</f>
        <v/>
      </c>
      <c r="F320" s="11" t="inlineStr">
        <is>
          <t>EDM</t>
        </is>
      </c>
      <c r="G320" s="12" t="n">
        <v>-135</v>
      </c>
      <c r="H320" s="14">
        <f>IF(OR(F320="",G320="",AND(I320&lt;&gt;"W",I320&lt;&gt;"L")),"",IF(I320="W",IF(G320&gt;0,G320/100,1),IF(G320&lt;0,G320/100,-1)))</f>
        <v/>
      </c>
      <c r="I320" s="11" t="inlineStr">
        <is>
          <t>L</t>
        </is>
      </c>
      <c r="J320" s="10" t="inlineStr">
        <is>
          <t>DAL 8, EDM 3</t>
        </is>
      </c>
      <c r="K320" s="10" t="inlineStr">
        <is>
          <t>DraftKings closing</t>
        </is>
      </c>
    </row>
    <row r="321">
      <c r="A321" s="9" t="n">
        <v>45987</v>
      </c>
      <c r="B321" s="10" t="inlineStr">
        <is>
          <t>NSH @ DET</t>
        </is>
      </c>
      <c r="C321" s="13" t="n">
        <v>57.38</v>
      </c>
      <c r="D321" s="13" t="n">
        <v>73.66</v>
      </c>
      <c r="E321" s="13">
        <f>IF(OR(C321="",D321=""),"",ABS(C321-D321))</f>
        <v/>
      </c>
      <c r="F321" s="11" t="inlineStr">
        <is>
          <t>DET</t>
        </is>
      </c>
      <c r="G321" s="12" t="n">
        <v>-162</v>
      </c>
      <c r="H321" s="14">
        <f>IF(OR(F321="",G321="",AND(I321&lt;&gt;"W",I321&lt;&gt;"L")),"",IF(I321="W",IF(G321&gt;0,G321/100,1),IF(G321&lt;0,G321/100,-1)))</f>
        <v/>
      </c>
      <c r="I321" s="11" t="inlineStr">
        <is>
          <t>L</t>
        </is>
      </c>
      <c r="J321" s="10" t="inlineStr">
        <is>
          <t>NSH 6, DET 3</t>
        </is>
      </c>
      <c r="K321" s="10" t="inlineStr">
        <is>
          <t>DraftKings closing</t>
        </is>
      </c>
    </row>
    <row r="322">
      <c r="A322" s="9" t="n">
        <v>45987</v>
      </c>
      <c r="B322" s="10" t="inlineStr">
        <is>
          <t>CGY @ TBL</t>
        </is>
      </c>
      <c r="C322" s="13" t="n">
        <v>74.34999999999999</v>
      </c>
      <c r="D322" s="13" t="n">
        <v>78.53</v>
      </c>
      <c r="E322" s="13">
        <f>IF(OR(C322="",D322=""),"",ABS(C322-D322))</f>
        <v/>
      </c>
      <c r="F322" s="11" t="inlineStr">
        <is>
          <t>TBL</t>
        </is>
      </c>
      <c r="G322" s="12" t="n">
        <v>-175</v>
      </c>
      <c r="H322" s="14">
        <f>IF(OR(F322="",G322="",AND(I322&lt;&gt;"W",I322&lt;&gt;"L")),"",IF(I322="W",IF(G322&gt;0,G322/100,1),IF(G322&lt;0,G322/100,-1)))</f>
        <v/>
      </c>
      <c r="I322" s="11" t="inlineStr">
        <is>
          <t>W</t>
        </is>
      </c>
      <c r="J322" s="10" t="inlineStr">
        <is>
          <t>CGY 1, TBL 5</t>
        </is>
      </c>
      <c r="K322" s="10" t="inlineStr">
        <is>
          <t>DraftKings closing</t>
        </is>
      </c>
    </row>
    <row r="323">
      <c r="A323" s="9" t="n">
        <v>45987</v>
      </c>
      <c r="B323" s="10" t="inlineStr">
        <is>
          <t>PHI @ FLA</t>
        </is>
      </c>
      <c r="C323" s="13" t="n">
        <v>61.47</v>
      </c>
      <c r="D323" s="13" t="n">
        <v>82.62</v>
      </c>
      <c r="E323" s="13">
        <f>IF(OR(C323="",D323=""),"",ABS(C323-D323))</f>
        <v/>
      </c>
      <c r="F323" s="11" t="inlineStr">
        <is>
          <t>FLA</t>
        </is>
      </c>
      <c r="G323" s="12" t="n">
        <v>-185</v>
      </c>
      <c r="H323" s="14">
        <f>IF(OR(F323="",G323="",AND(I323&lt;&gt;"W",I323&lt;&gt;"L")),"",IF(I323="W",IF(G323&gt;0,G323/100,1),IF(G323&lt;0,G323/100,-1)))</f>
        <v/>
      </c>
      <c r="I323" s="11" t="inlineStr">
        <is>
          <t>L</t>
        </is>
      </c>
      <c r="J323" s="10" t="inlineStr">
        <is>
          <t>PHI 4, FLA 2</t>
        </is>
      </c>
      <c r="K323" s="10" t="inlineStr">
        <is>
          <t>DraftKings closing</t>
        </is>
      </c>
    </row>
    <row r="324">
      <c r="A324" s="9" t="n">
        <v>45987</v>
      </c>
      <c r="B324" s="10" t="inlineStr">
        <is>
          <t>STL @ NJD</t>
        </is>
      </c>
      <c r="C324" s="13" t="n">
        <v>63.9</v>
      </c>
      <c r="D324" s="13" t="n">
        <v>66.34</v>
      </c>
      <c r="E324" s="13">
        <f>IF(OR(C324="",D324=""),"",ABS(C324-D324))</f>
        <v/>
      </c>
      <c r="F324" s="11" t="inlineStr">
        <is>
          <t>NJD</t>
        </is>
      </c>
      <c r="G324" s="12" t="n">
        <v>-135</v>
      </c>
      <c r="H324" s="14">
        <f>IF(OR(F324="",G324="",AND(I324&lt;&gt;"W",I324&lt;&gt;"L")),"",IF(I324="W",IF(G324&gt;0,G324/100,1),IF(G324&lt;0,G324/100,-1)))</f>
        <v/>
      </c>
      <c r="I324" s="11" t="inlineStr">
        <is>
          <t>W</t>
        </is>
      </c>
      <c r="J324" s="10" t="inlineStr">
        <is>
          <t>STL 2, NJD 3</t>
        </is>
      </c>
      <c r="K324" s="10" t="inlineStr">
        <is>
          <t>DraftKings closing</t>
        </is>
      </c>
    </row>
    <row r="325">
      <c r="A325" s="9" t="n">
        <v>45987</v>
      </c>
      <c r="B325" s="10" t="inlineStr">
        <is>
          <t>BOS @ NYI</t>
        </is>
      </c>
      <c r="C325" s="13" t="n">
        <v>74.18000000000001</v>
      </c>
      <c r="D325" s="13" t="n">
        <v>79.34999999999999</v>
      </c>
      <c r="E325" s="13">
        <f>IF(OR(C325="",D325=""),"",ABS(C325-D325))</f>
        <v/>
      </c>
      <c r="F325" s="11" t="inlineStr">
        <is>
          <t>NYI</t>
        </is>
      </c>
      <c r="G325" s="12" t="n">
        <v>-155</v>
      </c>
      <c r="H325" s="14">
        <f>IF(OR(F325="",G325="",AND(I325&lt;&gt;"W",I325&lt;&gt;"L")),"",IF(I325="W",IF(G325&gt;0,G325/100,1),IF(G325&lt;0,G325/100,-1)))</f>
        <v/>
      </c>
      <c r="I325" s="11" t="inlineStr">
        <is>
          <t>L</t>
        </is>
      </c>
      <c r="J325" s="10" t="inlineStr">
        <is>
          <t>BOS 3, NYI 1</t>
        </is>
      </c>
      <c r="K325" s="10" t="inlineStr">
        <is>
          <t>ESPN BET closing</t>
        </is>
      </c>
    </row>
    <row r="326">
      <c r="A326" s="9" t="n">
        <v>45987</v>
      </c>
      <c r="B326" s="10" t="inlineStr">
        <is>
          <t>BUF @ PIT</t>
        </is>
      </c>
      <c r="C326" s="13" t="n">
        <v>69.91</v>
      </c>
      <c r="D326" s="13" t="n">
        <v>71.77</v>
      </c>
      <c r="E326" s="13">
        <f>IF(OR(C326="",D326=""),"",ABS(C326-D326))</f>
        <v/>
      </c>
      <c r="F326" s="11" t="inlineStr">
        <is>
          <t>PIT</t>
        </is>
      </c>
      <c r="G326" s="12" t="n">
        <v>-115</v>
      </c>
      <c r="H326" s="14">
        <f>IF(OR(F326="",G326="",AND(I326&lt;&gt;"W",I326&lt;&gt;"L")),"",IF(I326="W",IF(G326&gt;0,G326/100,1),IF(G326&lt;0,G326/100,-1)))</f>
        <v/>
      </c>
      <c r="I326" s="11" t="inlineStr">
        <is>
          <t>W</t>
        </is>
      </c>
      <c r="J326" s="10" t="inlineStr">
        <is>
          <t>BUF 2, PIT 4</t>
        </is>
      </c>
      <c r="K326" s="10" t="inlineStr">
        <is>
          <t>ESPN BET closing</t>
        </is>
      </c>
    </row>
    <row r="327">
      <c r="A327" s="9" t="n">
        <v>45987</v>
      </c>
      <c r="B327" s="10" t="inlineStr">
        <is>
          <t>WPG @ WSH</t>
        </is>
      </c>
      <c r="C327" s="13" t="n">
        <v>64.93000000000001</v>
      </c>
      <c r="D327" s="13" t="n">
        <v>84.63</v>
      </c>
      <c r="E327" s="13">
        <f>IF(OR(C327="",D327=""),"",ABS(C327-D327))</f>
        <v/>
      </c>
      <c r="F327" s="11" t="inlineStr">
        <is>
          <t>WSH</t>
        </is>
      </c>
      <c r="G327" s="12" t="n">
        <v>-148</v>
      </c>
      <c r="H327" s="14">
        <f>IF(OR(F327="",G327="",AND(I327&lt;&gt;"W",I327&lt;&gt;"L")),"",IF(I327="W",IF(G327&gt;0,G327/100,1),IF(G327&lt;0,G327/100,-1)))</f>
        <v/>
      </c>
      <c r="I327" s="11" t="inlineStr">
        <is>
          <t>W</t>
        </is>
      </c>
      <c r="J327" s="10" t="inlineStr">
        <is>
          <t>WPG 3, WSH 4</t>
        </is>
      </c>
      <c r="K327" s="10" t="inlineStr">
        <is>
          <t>DraftKings closing</t>
        </is>
      </c>
    </row>
    <row r="328">
      <c r="A328" s="9" t="n">
        <v>45987</v>
      </c>
      <c r="B328" s="10" t="inlineStr">
        <is>
          <t>NYR @ CAR</t>
        </is>
      </c>
      <c r="C328" s="13" t="n">
        <v>76.09999999999999</v>
      </c>
      <c r="D328" s="13" t="n">
        <v>70.09</v>
      </c>
      <c r="E328" s="13">
        <f>IF(OR(C328="",D328=""),"",ABS(C328-D328))</f>
        <v/>
      </c>
      <c r="F328" s="11" t="inlineStr">
        <is>
          <t>NYR</t>
        </is>
      </c>
      <c r="G328" s="12" t="n">
        <v>160</v>
      </c>
      <c r="H328" s="14">
        <f>IF(OR(F328="",G328="",AND(I328&lt;&gt;"W",I328&lt;&gt;"L")),"",IF(I328="W",IF(G328&gt;0,G328/100,1),IF(G328&lt;0,G328/100,-1)))</f>
        <v/>
      </c>
      <c r="I328" s="11" t="inlineStr">
        <is>
          <t>W</t>
        </is>
      </c>
      <c r="J328" s="10" t="inlineStr">
        <is>
          <t>NYR 4, CAR 2</t>
        </is>
      </c>
      <c r="K328" s="10" t="inlineStr">
        <is>
          <t>DraftKings closing</t>
        </is>
      </c>
    </row>
    <row r="329">
      <c r="A329" s="9" t="n">
        <v>45987</v>
      </c>
      <c r="B329" s="10" t="inlineStr">
        <is>
          <t>TOR @ CBJ</t>
        </is>
      </c>
      <c r="C329" s="13" t="n">
        <v>60.79</v>
      </c>
      <c r="D329" s="13" t="n">
        <v>55.37</v>
      </c>
      <c r="E329" s="13">
        <f>IF(OR(C329="",D329=""),"",ABS(C329-D329))</f>
        <v/>
      </c>
      <c r="F329" s="11" t="inlineStr">
        <is>
          <t>TOR</t>
        </is>
      </c>
      <c r="G329" s="12" t="n">
        <v>-110</v>
      </c>
      <c r="H329" s="14">
        <f>IF(OR(F329="",G329="",AND(I329&lt;&gt;"W",I329&lt;&gt;"L")),"",IF(I329="W",IF(G329&gt;0,G329/100,1),IF(G329&lt;0,G329/100,-1)))</f>
        <v/>
      </c>
      <c r="I329" s="11" t="inlineStr">
        <is>
          <t>W</t>
        </is>
      </c>
      <c r="J329" s="10" t="inlineStr">
        <is>
          <t>TOR 2, CBJ 1</t>
        </is>
      </c>
      <c r="K329" s="10" t="inlineStr">
        <is>
          <t>DraftKings closing</t>
        </is>
      </c>
    </row>
    <row r="330">
      <c r="A330" s="9" t="n">
        <v>45987</v>
      </c>
      <c r="B330" s="10" t="inlineStr">
        <is>
          <t>MIN @ CHI</t>
        </is>
      </c>
      <c r="C330" s="13" t="n">
        <v>75.06999999999999</v>
      </c>
      <c r="D330" s="13" t="n">
        <v>64.56999999999999</v>
      </c>
      <c r="E330" s="13">
        <f>IF(OR(C330="",D330=""),"",ABS(C330-D330))</f>
        <v/>
      </c>
      <c r="F330" s="11" t="inlineStr">
        <is>
          <t>MIN</t>
        </is>
      </c>
      <c r="G330" s="12" t="n">
        <v>-135</v>
      </c>
      <c r="H330" s="14">
        <f>IF(OR(F330="",G330="",AND(I330&lt;&gt;"W",I330&lt;&gt;"L")),"",IF(I330="W",IF(G330&gt;0,G330/100,1),IF(G330&lt;0,G330/100,-1)))</f>
        <v/>
      </c>
      <c r="I330" s="11" t="inlineStr">
        <is>
          <t>W</t>
        </is>
      </c>
      <c r="J330" s="10" t="inlineStr">
        <is>
          <t>MIN 4, CHI 3</t>
        </is>
      </c>
      <c r="K330" s="10" t="inlineStr">
        <is>
          <t>DraftKings closing</t>
        </is>
      </c>
    </row>
    <row r="331">
      <c r="A331" s="9" t="n">
        <v>45987</v>
      </c>
      <c r="B331" s="10" t="inlineStr">
        <is>
          <t>SJS @ COL</t>
        </is>
      </c>
      <c r="C331" s="13" t="n">
        <v>65.81999999999999</v>
      </c>
      <c r="D331" s="13" t="n">
        <v>75.43000000000001</v>
      </c>
      <c r="E331" s="13">
        <f>IF(OR(C331="",D331=""),"",ABS(C331-D331))</f>
        <v/>
      </c>
      <c r="F331" s="11" t="inlineStr">
        <is>
          <t>COL</t>
        </is>
      </c>
      <c r="G331" s="12" t="n">
        <v>-395</v>
      </c>
      <c r="H331" s="14">
        <f>IF(OR(F331="",G331="",AND(I331&lt;&gt;"W",I331&lt;&gt;"L")),"",IF(I331="W",IF(G331&gt;0,G331/100,1),IF(G331&lt;0,G331/100,-1)))</f>
        <v/>
      </c>
      <c r="I331" s="11" t="inlineStr">
        <is>
          <t>W</t>
        </is>
      </c>
      <c r="J331" s="10" t="inlineStr">
        <is>
          <t>SJS 0, COL 6</t>
        </is>
      </c>
      <c r="K331" s="10" t="inlineStr">
        <is>
          <t>DraftKings closing</t>
        </is>
      </c>
    </row>
    <row r="332">
      <c r="A332" s="9" t="n">
        <v>45987</v>
      </c>
      <c r="B332" s="10" t="inlineStr">
        <is>
          <t>MTL @ UTA</t>
        </is>
      </c>
      <c r="C332" s="13" t="n">
        <v>79.20999999999999</v>
      </c>
      <c r="D332" s="13" t="n">
        <v>70.53</v>
      </c>
      <c r="E332" s="13">
        <f>IF(OR(C332="",D332=""),"",ABS(C332-D332))</f>
        <v/>
      </c>
      <c r="F332" s="11" t="inlineStr">
        <is>
          <t>MTL</t>
        </is>
      </c>
      <c r="G332" s="12" t="n">
        <v>120</v>
      </c>
      <c r="H332" s="14">
        <f>IF(OR(F332="",G332="",AND(I332&lt;&gt;"W",I332&lt;&gt;"L")),"",IF(I332="W",IF(G332&gt;0,G332/100,1),IF(G332&lt;0,G332/100,-1)))</f>
        <v/>
      </c>
      <c r="I332" s="11" t="inlineStr">
        <is>
          <t>W</t>
        </is>
      </c>
      <c r="J332" s="10" t="inlineStr">
        <is>
          <t>MTL 4, UTA 3</t>
        </is>
      </c>
      <c r="K332" s="10" t="inlineStr">
        <is>
          <t>DraftKings closing</t>
        </is>
      </c>
    </row>
    <row r="333">
      <c r="A333" s="9" t="n">
        <v>45987</v>
      </c>
      <c r="B333" s="10" t="inlineStr">
        <is>
          <t>OTT @ VGK</t>
        </is>
      </c>
      <c r="C333" s="13" t="n">
        <v>70.68000000000001</v>
      </c>
      <c r="D333" s="13" t="n">
        <v>69.47</v>
      </c>
      <c r="E333" s="13">
        <f>IF(OR(C333="",D333=""),"",ABS(C333-D333))</f>
        <v/>
      </c>
      <c r="F333" s="11" t="inlineStr">
        <is>
          <t>OTT</t>
        </is>
      </c>
      <c r="G333" s="12" t="n">
        <v>150</v>
      </c>
      <c r="H333" s="14">
        <f>IF(OR(F333="",G333="",AND(I333&lt;&gt;"W",I333&lt;&gt;"L")),"",IF(I333="W",IF(G333&gt;0,G333/100,1),IF(G333&lt;0,G333/100,-1)))</f>
        <v/>
      </c>
      <c r="I333" s="11" t="inlineStr">
        <is>
          <t>W</t>
        </is>
      </c>
      <c r="J333" s="10" t="inlineStr">
        <is>
          <t>OTT 4, VGK 3</t>
        </is>
      </c>
      <c r="K333" s="10" t="inlineStr">
        <is>
          <t>DraftKings closing</t>
        </is>
      </c>
    </row>
    <row r="334">
      <c r="A334" s="9" t="n">
        <v>45987</v>
      </c>
      <c r="B334" s="10" t="inlineStr">
        <is>
          <t>VAN @ ANA</t>
        </is>
      </c>
      <c r="C334" s="13" t="n">
        <v>65.65000000000001</v>
      </c>
      <c r="D334" s="13" t="n">
        <v>75.13</v>
      </c>
      <c r="E334" s="13">
        <f>IF(OR(C334="",D334=""),"",ABS(C334-D334))</f>
        <v/>
      </c>
      <c r="F334" s="11" t="inlineStr">
        <is>
          <t>ANA</t>
        </is>
      </c>
      <c r="G334" s="12" t="n">
        <v>-155</v>
      </c>
      <c r="H334" s="14">
        <f>IF(OR(F334="",G334="",AND(I334&lt;&gt;"W",I334&lt;&gt;"L")),"",IF(I334="W",IF(G334&gt;0,G334/100,1),IF(G334&lt;0,G334/100,-1)))</f>
        <v/>
      </c>
      <c r="I334" s="11" t="inlineStr">
        <is>
          <t>L</t>
        </is>
      </c>
      <c r="J334" s="10" t="inlineStr">
        <is>
          <t>VAN 5, ANA 4</t>
        </is>
      </c>
      <c r="K334" s="10" t="inlineStr">
        <is>
          <t>DraftKings closing</t>
        </is>
      </c>
    </row>
    <row r="335">
      <c r="A335" s="9" t="n">
        <v>45987</v>
      </c>
      <c r="B335" s="10" t="inlineStr">
        <is>
          <t>DAL @ SEA</t>
        </is>
      </c>
      <c r="C335" s="13" t="n">
        <v>93.19</v>
      </c>
      <c r="D335" s="13" t="n">
        <v>60.65</v>
      </c>
      <c r="E335" s="13">
        <f>IF(OR(C335="",D335=""),"",ABS(C335-D335))</f>
        <v/>
      </c>
      <c r="F335" s="11" t="inlineStr">
        <is>
          <t>DAL</t>
        </is>
      </c>
      <c r="G335" s="12" t="n">
        <v>-130</v>
      </c>
      <c r="H335" s="14">
        <f>IF(OR(F335="",G335="",AND(I335&lt;&gt;"W",I335&lt;&gt;"L")),"",IF(I335="W",IF(G335&gt;0,G335/100,1),IF(G335&lt;0,G335/100,-1)))</f>
        <v/>
      </c>
      <c r="I335" s="11" t="inlineStr">
        <is>
          <t>W</t>
        </is>
      </c>
      <c r="J335" s="10" t="inlineStr">
        <is>
          <t>DAL 3, SEA 2</t>
        </is>
      </c>
      <c r="K335" s="10" t="inlineStr">
        <is>
          <t>DraftKings closing</t>
        </is>
      </c>
    </row>
    <row r="336">
      <c r="A336" s="9" t="n">
        <v>45989</v>
      </c>
      <c r="B336" s="10" t="inlineStr">
        <is>
          <t>TBL @ DET</t>
        </is>
      </c>
      <c r="C336" s="13" t="n">
        <v>81.87</v>
      </c>
      <c r="D336" s="13" t="n">
        <v>59.08</v>
      </c>
      <c r="E336" s="13">
        <f>IF(OR(C336="",D336=""),"",ABS(C336-D336))</f>
        <v/>
      </c>
      <c r="F336" s="11" t="inlineStr">
        <is>
          <t>TBL</t>
        </is>
      </c>
      <c r="G336" s="12" t="n">
        <v>-130</v>
      </c>
      <c r="H336" s="14">
        <f>IF(OR(F336="",G336="",AND(I336&lt;&gt;"W",I336&lt;&gt;"L")),"",IF(I336="W",IF(G336&gt;0,G336/100,1),IF(G336&lt;0,G336/100,-1)))</f>
        <v/>
      </c>
      <c r="I336" s="11" t="inlineStr">
        <is>
          <t>W</t>
        </is>
      </c>
      <c r="J336" s="10" t="inlineStr">
        <is>
          <t>TBL 6, DET 3</t>
        </is>
      </c>
      <c r="K336" s="10" t="inlineStr">
        <is>
          <t>ESPN BET closing</t>
        </is>
      </c>
    </row>
    <row r="337">
      <c r="A337" s="9" t="n">
        <v>45989</v>
      </c>
      <c r="B337" s="10" t="inlineStr">
        <is>
          <t>NYR @ BOS</t>
        </is>
      </c>
      <c r="C337" s="13" t="n">
        <v>67.51000000000001</v>
      </c>
      <c r="D337" s="13" t="n">
        <v>66.13</v>
      </c>
      <c r="E337" s="13">
        <f>IF(OR(C337="",D337=""),"",ABS(C337-D337))</f>
        <v/>
      </c>
      <c r="F337" s="11" t="inlineStr">
        <is>
          <t>NYR</t>
        </is>
      </c>
      <c r="G337" s="12" t="n">
        <v>-180</v>
      </c>
      <c r="H337" s="14">
        <f>IF(OR(F337="",G337="",AND(I337&lt;&gt;"W",I337&lt;&gt;"L")),"",IF(I337="W",IF(G337&gt;0,G337/100,1),IF(G337&lt;0,G337/100,-1)))</f>
        <v/>
      </c>
      <c r="I337" s="11" t="inlineStr">
        <is>
          <t>W</t>
        </is>
      </c>
      <c r="J337" s="10" t="inlineStr">
        <is>
          <t>NYR 6, BOS 2</t>
        </is>
      </c>
      <c r="K337" s="10" t="inlineStr">
        <is>
          <t>DraftKings closing</t>
        </is>
      </c>
    </row>
    <row r="338">
      <c r="A338" s="9" t="n">
        <v>45989</v>
      </c>
      <c r="B338" s="10" t="inlineStr">
        <is>
          <t>COL @ MIN</t>
        </is>
      </c>
      <c r="C338" s="13" t="n">
        <v>99.58</v>
      </c>
      <c r="D338" s="13" t="n">
        <v>67.87</v>
      </c>
      <c r="E338" s="13">
        <f>IF(OR(C338="",D338=""),"",ABS(C338-D338))</f>
        <v/>
      </c>
      <c r="F338" s="11" t="inlineStr">
        <is>
          <t>COL</t>
        </is>
      </c>
      <c r="G338" s="12" t="n">
        <v>-190</v>
      </c>
      <c r="H338" s="14">
        <f>IF(OR(F338="",G338="",AND(I338&lt;&gt;"W",I338&lt;&gt;"L")),"",IF(I338="W",IF(G338&gt;0,G338/100,1),IF(G338&lt;0,G338/100,-1)))</f>
        <v/>
      </c>
      <c r="I338" s="11" t="inlineStr">
        <is>
          <t>L</t>
        </is>
      </c>
      <c r="J338" s="10" t="inlineStr">
        <is>
          <t>COL 2, MIN 3</t>
        </is>
      </c>
      <c r="K338" s="10" t="inlineStr">
        <is>
          <t>ESPN BET closing</t>
        </is>
      </c>
    </row>
    <row r="339">
      <c r="A339" s="9" t="n">
        <v>45989</v>
      </c>
      <c r="B339" s="10" t="inlineStr">
        <is>
          <t>NJD @ BUF</t>
        </is>
      </c>
      <c r="C339" s="13" t="n">
        <v>77.27</v>
      </c>
      <c r="D339" s="13" t="n">
        <v>72.51000000000001</v>
      </c>
      <c r="E339" s="13">
        <f>IF(OR(C339="",D339=""),"",ABS(C339-D339))</f>
        <v/>
      </c>
      <c r="F339" s="11" t="inlineStr">
        <is>
          <t>NJD</t>
        </is>
      </c>
      <c r="G339" s="12" t="n">
        <v>-108</v>
      </c>
      <c r="H339" s="14">
        <f>IF(OR(F339="",G339="",AND(I339&lt;&gt;"W",I339&lt;&gt;"L")),"",IF(I339="W",IF(G339&gt;0,G339/100,1),IF(G339&lt;0,G339/100,-1)))</f>
        <v/>
      </c>
      <c r="I339" s="11" t="inlineStr">
        <is>
          <t>W</t>
        </is>
      </c>
      <c r="J339" s="10" t="inlineStr">
        <is>
          <t>NJD 5, BUF 0</t>
        </is>
      </c>
      <c r="K339" s="10" t="inlineStr">
        <is>
          <t>DraftKings closing</t>
        </is>
      </c>
    </row>
    <row r="340">
      <c r="A340" s="9" t="n">
        <v>45989</v>
      </c>
      <c r="B340" s="10" t="inlineStr">
        <is>
          <t>CGY @ FLA</t>
        </is>
      </c>
      <c r="C340" s="13" t="n">
        <v>58.13</v>
      </c>
      <c r="D340" s="13" t="n">
        <v>66.23</v>
      </c>
      <c r="E340" s="13">
        <f>IF(OR(C340="",D340=""),"",ABS(C340-D340))</f>
        <v/>
      </c>
      <c r="F340" s="11" t="inlineStr">
        <is>
          <t>FLA</t>
        </is>
      </c>
      <c r="G340" s="12" t="n">
        <v>-185</v>
      </c>
      <c r="H340" s="14">
        <f>IF(OR(F340="",G340="",AND(I340&lt;&gt;"W",I340&lt;&gt;"L")),"",IF(I340="W",IF(G340&gt;0,G340/100,1),IF(G340&lt;0,G340/100,-1)))</f>
        <v/>
      </c>
      <c r="I340" s="11" t="inlineStr">
        <is>
          <t>L</t>
        </is>
      </c>
      <c r="J340" s="10" t="inlineStr">
        <is>
          <t>CGY 5, FLA 3</t>
        </is>
      </c>
      <c r="K340" s="10" t="inlineStr">
        <is>
          <t>DraftKings closing</t>
        </is>
      </c>
    </row>
    <row r="341">
      <c r="A341" s="9" t="n">
        <v>45989</v>
      </c>
      <c r="B341" s="10" t="inlineStr">
        <is>
          <t>PHI @ NYI</t>
        </is>
      </c>
      <c r="C341" s="13" t="n">
        <v>73.77</v>
      </c>
      <c r="D341" s="13" t="n">
        <v>73.87</v>
      </c>
      <c r="E341" s="13">
        <f>IF(OR(C341="",D341=""),"",ABS(C341-D341))</f>
        <v/>
      </c>
      <c r="F341" s="11" t="inlineStr">
        <is>
          <t>NYI</t>
        </is>
      </c>
      <c r="G341" s="12" t="n">
        <v>-140</v>
      </c>
      <c r="H341" s="14">
        <f>IF(OR(F341="",G341="",AND(I341&lt;&gt;"W",I341&lt;&gt;"L")),"",IF(I341="W",IF(G341&gt;0,G341/100,1),IF(G341&lt;0,G341/100,-1)))</f>
        <v/>
      </c>
      <c r="I341" s="11" t="inlineStr">
        <is>
          <t>L</t>
        </is>
      </c>
      <c r="J341" s="10" t="inlineStr">
        <is>
          <t>PHI 4, NYI 3</t>
        </is>
      </c>
      <c r="K341" s="10" t="inlineStr">
        <is>
          <t>ESPN BET closing</t>
        </is>
      </c>
    </row>
    <row r="342">
      <c r="A342" s="9" t="n">
        <v>45989</v>
      </c>
      <c r="B342" s="10" t="inlineStr">
        <is>
          <t>OTT @ STL</t>
        </is>
      </c>
      <c r="C342" s="13" t="n">
        <v>67.27</v>
      </c>
      <c r="D342" s="13" t="n">
        <v>62.73</v>
      </c>
      <c r="E342" s="13">
        <f>IF(OR(C342="",D342=""),"",ABS(C342-D342))</f>
        <v/>
      </c>
      <c r="F342" s="11" t="inlineStr">
        <is>
          <t>OTT</t>
        </is>
      </c>
      <c r="G342" s="12" t="n">
        <v>-115</v>
      </c>
      <c r="H342" s="14">
        <f>IF(OR(F342="",G342="",AND(I342&lt;&gt;"W",I342&lt;&gt;"L")),"",IF(I342="W",IF(G342&gt;0,G342/100,1),IF(G342&lt;0,G342/100,-1)))</f>
        <v/>
      </c>
      <c r="I342" s="11" t="inlineStr">
        <is>
          <t>L</t>
        </is>
      </c>
      <c r="J342" s="10" t="inlineStr">
        <is>
          <t>OTT 3, STL 4</t>
        </is>
      </c>
      <c r="K342" s="10" t="inlineStr">
        <is>
          <t>ESPN BET closing</t>
        </is>
      </c>
    </row>
    <row r="343">
      <c r="A343" s="9" t="n">
        <v>45989</v>
      </c>
      <c r="B343" s="10" t="inlineStr">
        <is>
          <t>MTL @ VGK</t>
        </is>
      </c>
      <c r="C343" s="13" t="n">
        <v>62.86</v>
      </c>
      <c r="D343" s="13" t="n">
        <v>72.73</v>
      </c>
      <c r="E343" s="13">
        <f>IF(OR(C343="",D343=""),"",ABS(C343-D343))</f>
        <v/>
      </c>
      <c r="F343" s="11" t="inlineStr">
        <is>
          <t>VGK</t>
        </is>
      </c>
      <c r="G343" s="12" t="n">
        <v>-200</v>
      </c>
      <c r="H343" s="14">
        <f>IF(OR(F343="",G343="",AND(I343&lt;&gt;"W",I343&lt;&gt;"L")),"",IF(I343="W",IF(G343&gt;0,G343/100,1),IF(G343&lt;0,G343/100,-1)))</f>
        <v/>
      </c>
      <c r="I343" s="11" t="inlineStr">
        <is>
          <t>L</t>
        </is>
      </c>
      <c r="J343" s="10" t="inlineStr">
        <is>
          <t>MTL 4, VGK 1</t>
        </is>
      </c>
      <c r="K343" s="10" t="inlineStr">
        <is>
          <t>ESPN BET closing</t>
        </is>
      </c>
    </row>
    <row r="344">
      <c r="A344" s="9" t="n">
        <v>45989</v>
      </c>
      <c r="B344" s="10" t="inlineStr">
        <is>
          <t>LAK @ ANA</t>
        </is>
      </c>
      <c r="C344" s="13" t="n">
        <v>69.31999999999999</v>
      </c>
      <c r="D344" s="13" t="n">
        <v>74.47</v>
      </c>
      <c r="E344" s="13">
        <f>IF(OR(C344="",D344=""),"",ABS(C344-D344))</f>
        <v/>
      </c>
      <c r="F344" s="11" t="inlineStr">
        <is>
          <t>ANA</t>
        </is>
      </c>
      <c r="G344" s="12" t="n">
        <v>115</v>
      </c>
      <c r="H344" s="14">
        <f>IF(OR(F344="",G344="",AND(I344&lt;&gt;"W",I344&lt;&gt;"L")),"",IF(I344="W",IF(G344&gt;0,G344/100,1),IF(G344&lt;0,G344/100,-1)))</f>
        <v/>
      </c>
      <c r="I344" s="11" t="inlineStr">
        <is>
          <t>W</t>
        </is>
      </c>
      <c r="J344" s="10" t="inlineStr">
        <is>
          <t>LAK 4, ANA 5</t>
        </is>
      </c>
      <c r="K344" s="10" t="inlineStr">
        <is>
          <t>ESPN BET closing</t>
        </is>
      </c>
    </row>
    <row r="345">
      <c r="A345" s="9" t="n">
        <v>45989</v>
      </c>
      <c r="B345" s="10" t="inlineStr">
        <is>
          <t>VAN @ SJS</t>
        </is>
      </c>
      <c r="C345" s="13" t="n">
        <v>65.53</v>
      </c>
      <c r="D345" s="13" t="n">
        <v>40.42</v>
      </c>
      <c r="E345" s="13">
        <f>IF(OR(C345="",D345=""),"",ABS(C345-D345))</f>
        <v/>
      </c>
      <c r="F345" s="11" t="inlineStr">
        <is>
          <t>VAN</t>
        </is>
      </c>
      <c r="G345" s="12" t="n">
        <v>-122</v>
      </c>
      <c r="H345" s="14">
        <f>IF(OR(F345="",G345="",AND(I345&lt;&gt;"W",I345&lt;&gt;"L")),"",IF(I345="W",IF(G345&gt;0,G345/100,1),IF(G345&lt;0,G345/100,-1)))</f>
        <v/>
      </c>
      <c r="I345" s="11" t="inlineStr">
        <is>
          <t>L</t>
        </is>
      </c>
      <c r="J345" s="10" t="inlineStr">
        <is>
          <t>VAN 2, SJS 3</t>
        </is>
      </c>
      <c r="K345" s="10" t="inlineStr">
        <is>
          <t>DraftKings closing</t>
        </is>
      </c>
    </row>
    <row r="346">
      <c r="A346" s="9" t="n">
        <v>45989</v>
      </c>
      <c r="B346" s="10" t="inlineStr">
        <is>
          <t>TOR @ WSH</t>
        </is>
      </c>
      <c r="C346" s="13" t="n">
        <v>66.56999999999999</v>
      </c>
      <c r="D346" s="13" t="n">
        <v>73.45999999999999</v>
      </c>
      <c r="E346" s="13">
        <f>IF(OR(C346="",D346=""),"",ABS(C346-D346))</f>
        <v/>
      </c>
      <c r="F346" s="11" t="inlineStr">
        <is>
          <t>WSH</t>
        </is>
      </c>
      <c r="G346" s="12" t="n">
        <v>-170</v>
      </c>
      <c r="H346" s="14">
        <f>IF(OR(F346="",G346="",AND(I346&lt;&gt;"W",I346&lt;&gt;"L")),"",IF(I346="W",IF(G346&gt;0,G346/100,1),IF(G346&lt;0,G346/100,-1)))</f>
        <v/>
      </c>
      <c r="I346" s="11" t="inlineStr">
        <is>
          <t>W</t>
        </is>
      </c>
      <c r="J346" s="10" t="inlineStr">
        <is>
          <t>TOR 2, WSH 4</t>
        </is>
      </c>
      <c r="K346" s="10" t="inlineStr">
        <is>
          <t>ESPN BET closing</t>
        </is>
      </c>
    </row>
    <row r="347">
      <c r="A347" s="9" t="n">
        <v>45989</v>
      </c>
      <c r="B347" s="10" t="inlineStr">
        <is>
          <t>WPG @ CAR</t>
        </is>
      </c>
      <c r="C347" s="13" t="n">
        <v>66.54000000000001</v>
      </c>
      <c r="D347" s="13" t="n">
        <v>72.48999999999999</v>
      </c>
      <c r="E347" s="13">
        <f>IF(OR(C347="",D347=""),"",ABS(C347-D347))</f>
        <v/>
      </c>
      <c r="F347" s="11" t="inlineStr">
        <is>
          <t>CAR</t>
        </is>
      </c>
      <c r="G347" s="12" t="n">
        <v>-198</v>
      </c>
      <c r="H347" s="14">
        <f>IF(OR(F347="",G347="",AND(I347&lt;&gt;"W",I347&lt;&gt;"L")),"",IF(I347="W",IF(G347&gt;0,G347/100,1),IF(G347&lt;0,G347/100,-1)))</f>
        <v/>
      </c>
      <c r="I347" s="11" t="inlineStr">
        <is>
          <t>W</t>
        </is>
      </c>
      <c r="J347" s="10" t="inlineStr">
        <is>
          <t>WPG 1, CAR 5</t>
        </is>
      </c>
      <c r="K347" s="10" t="inlineStr">
        <is>
          <t>DraftKings closing</t>
        </is>
      </c>
    </row>
    <row r="348">
      <c r="A348" s="9" t="n">
        <v>45989</v>
      </c>
      <c r="B348" s="10" t="inlineStr">
        <is>
          <t>PIT @ CBJ</t>
        </is>
      </c>
      <c r="C348" s="13" t="n">
        <v>67.48999999999999</v>
      </c>
      <c r="D348" s="13" t="n">
        <v>73.43000000000001</v>
      </c>
      <c r="E348" s="13">
        <f>IF(OR(C348="",D348=""),"",ABS(C348-D348))</f>
        <v/>
      </c>
      <c r="F348" s="11" t="inlineStr">
        <is>
          <t>CBJ</t>
        </is>
      </c>
      <c r="G348" s="12" t="n">
        <v>-135</v>
      </c>
      <c r="H348" s="14">
        <f>IF(OR(F348="",G348="",AND(I348&lt;&gt;"W",I348&lt;&gt;"L")),"",IF(I348="W",IF(G348&gt;0,G348/100,1),IF(G348&lt;0,G348/100,-1)))</f>
        <v/>
      </c>
      <c r="I348" s="11" t="inlineStr">
        <is>
          <t>L</t>
        </is>
      </c>
      <c r="J348" s="10" t="inlineStr">
        <is>
          <t>PIT 4, CBJ 3</t>
        </is>
      </c>
      <c r="K348" s="10" t="inlineStr">
        <is>
          <t>DraftKings closing</t>
        </is>
      </c>
    </row>
    <row r="349">
      <c r="A349" s="9" t="n">
        <v>45989</v>
      </c>
      <c r="B349" s="10" t="inlineStr">
        <is>
          <t>NSH @ CHI</t>
        </is>
      </c>
      <c r="C349" s="13" t="n">
        <v>80.92</v>
      </c>
      <c r="D349" s="13" t="n">
        <v>72.13</v>
      </c>
      <c r="E349" s="13">
        <f>IF(OR(C349="",D349=""),"",ABS(C349-D349))</f>
        <v/>
      </c>
      <c r="F349" s="11" t="inlineStr">
        <is>
          <t>NSH</t>
        </is>
      </c>
      <c r="G349" s="12" t="n">
        <v>-122</v>
      </c>
      <c r="H349" s="14">
        <f>IF(OR(F349="",G349="",AND(I349&lt;&gt;"W",I349&lt;&gt;"L")),"",IF(I349="W",IF(G349&gt;0,G349/100,1),IF(G349&lt;0,G349/100,-1)))</f>
        <v/>
      </c>
      <c r="I349" s="11" t="inlineStr">
        <is>
          <t>W</t>
        </is>
      </c>
      <c r="J349" s="10" t="inlineStr">
        <is>
          <t>NSH 4, CHI 3</t>
        </is>
      </c>
      <c r="K349" s="10" t="inlineStr">
        <is>
          <t>DraftKings closing</t>
        </is>
      </c>
    </row>
    <row r="350">
      <c r="A350" s="9" t="n">
        <v>45989</v>
      </c>
      <c r="B350" s="10" t="inlineStr">
        <is>
          <t>UTA @ DAL</t>
        </is>
      </c>
      <c r="C350" s="13" t="n">
        <v>77.14</v>
      </c>
      <c r="D350" s="13" t="n">
        <v>71.84999999999999</v>
      </c>
      <c r="E350" s="13">
        <f>IF(OR(C350="",D350=""),"",ABS(C350-D350))</f>
        <v/>
      </c>
      <c r="F350" s="11" t="inlineStr">
        <is>
          <t>UTA</t>
        </is>
      </c>
      <c r="G350" s="12" t="n">
        <v>110</v>
      </c>
      <c r="H350" s="14">
        <f>IF(OR(F350="",G350="",AND(I350&lt;&gt;"W",I350&lt;&gt;"L")),"",IF(I350="W",IF(G350&gt;0,G350/100,1),IF(G350&lt;0,G350/100,-1)))</f>
        <v/>
      </c>
      <c r="I350" s="11" t="inlineStr">
        <is>
          <t>L</t>
        </is>
      </c>
      <c r="J350" s="10" t="inlineStr">
        <is>
          <t>UTA 3, DAL 4</t>
        </is>
      </c>
      <c r="K350" s="10" t="inlineStr">
        <is>
          <t>DraftKings closing</t>
        </is>
      </c>
    </row>
    <row r="351">
      <c r="A351" s="9" t="n">
        <v>45990</v>
      </c>
      <c r="B351" s="10" t="inlineStr">
        <is>
          <t>TBL @ NYR</t>
        </is>
      </c>
      <c r="C351" s="13" t="n">
        <v>76.84999999999999</v>
      </c>
      <c r="D351" s="13" t="n">
        <v>85.91</v>
      </c>
      <c r="E351" s="13">
        <f>IF(OR(C351="",D351=""),"",ABS(C351-D351))</f>
        <v/>
      </c>
      <c r="F351" s="11" t="inlineStr">
        <is>
          <t>NYR</t>
        </is>
      </c>
      <c r="G351" s="12" t="n">
        <v>-130</v>
      </c>
      <c r="H351" s="14">
        <f>IF(OR(F351="",G351="",AND(I351&lt;&gt;"W",I351&lt;&gt;"L")),"",IF(I351="W",IF(G351&gt;0,G351/100,1),IF(G351&lt;0,G351/100,-1)))</f>
        <v/>
      </c>
      <c r="I351" s="11" t="inlineStr">
        <is>
          <t>L</t>
        </is>
      </c>
      <c r="J351" s="10" t="inlineStr">
        <is>
          <t>TBL 4, NYR 1</t>
        </is>
      </c>
      <c r="K351" s="10" t="inlineStr">
        <is>
          <t>ESPN BET closing</t>
        </is>
      </c>
    </row>
    <row r="352">
      <c r="A352" s="9" t="n">
        <v>45990</v>
      </c>
      <c r="B352" s="10" t="inlineStr">
        <is>
          <t>MTL @ COL</t>
        </is>
      </c>
      <c r="C352" s="13" t="n">
        <v>69.31</v>
      </c>
      <c r="D352" s="13" t="n">
        <v>72.54000000000001</v>
      </c>
      <c r="E352" s="13">
        <f>IF(OR(C352="",D352=""),"",ABS(C352-D352))</f>
        <v/>
      </c>
      <c r="F352" s="11" t="inlineStr">
        <is>
          <t>COL</t>
        </is>
      </c>
      <c r="G352" s="12" t="n">
        <v>-258</v>
      </c>
      <c r="H352" s="14">
        <f>IF(OR(F352="",G352="",AND(I352&lt;&gt;"W",I352&lt;&gt;"L")),"",IF(I352="W",IF(G352&gt;0,G352/100,1),IF(G352&lt;0,G352/100,-1)))</f>
        <v/>
      </c>
      <c r="I352" s="11" t="inlineStr">
        <is>
          <t>W</t>
        </is>
      </c>
      <c r="J352" s="10" t="inlineStr">
        <is>
          <t>MTL 2, COL 7</t>
        </is>
      </c>
      <c r="K352" s="10" t="inlineStr">
        <is>
          <t>DraftKings closing</t>
        </is>
      </c>
    </row>
    <row r="353">
      <c r="A353" s="9" t="n">
        <v>45990</v>
      </c>
      <c r="B353" s="10" t="inlineStr">
        <is>
          <t>EDM @ SEA</t>
        </is>
      </c>
      <c r="C353" s="13" t="n">
        <v>46.81</v>
      </c>
      <c r="D353" s="13" t="n">
        <v>68.15000000000001</v>
      </c>
      <c r="E353" s="13">
        <f>IF(OR(C353="",D353=""),"",ABS(C353-D353))</f>
        <v/>
      </c>
      <c r="F353" s="11" t="inlineStr">
        <is>
          <t>SEA</t>
        </is>
      </c>
      <c r="G353" s="12" t="n">
        <v>130</v>
      </c>
      <c r="H353" s="14">
        <f>IF(OR(F353="",G353="",AND(I353&lt;&gt;"W",I353&lt;&gt;"L")),"",IF(I353="W",IF(G353&gt;0,G353/100,1),IF(G353&lt;0,G353/100,-1)))</f>
        <v/>
      </c>
      <c r="I353" s="11" t="inlineStr">
        <is>
          <t>L</t>
        </is>
      </c>
      <c r="J353" s="10" t="inlineStr">
        <is>
          <t>EDM 4, SEA 0</t>
        </is>
      </c>
      <c r="K353" s="10" t="inlineStr">
        <is>
          <t>DraftKings closing</t>
        </is>
      </c>
    </row>
    <row r="354">
      <c r="A354" s="9" t="n">
        <v>45990</v>
      </c>
      <c r="B354" s="10" t="inlineStr">
        <is>
          <t>DET @ BOS</t>
        </is>
      </c>
      <c r="C354" s="13" t="n">
        <v>63.15</v>
      </c>
      <c r="D354" s="13" t="n">
        <v>54.09</v>
      </c>
      <c r="E354" s="13">
        <f>IF(OR(C354="",D354=""),"",ABS(C354-D354))</f>
        <v/>
      </c>
      <c r="F354" s="11" t="inlineStr">
        <is>
          <t>DET</t>
        </is>
      </c>
      <c r="G354" s="12" t="n">
        <v>-155</v>
      </c>
      <c r="H354" s="14">
        <f>IF(OR(F354="",G354="",AND(I354&lt;&gt;"W",I354&lt;&gt;"L")),"",IF(I354="W",IF(G354&gt;0,G354/100,1),IF(G354&lt;0,G354/100,-1)))</f>
        <v/>
      </c>
      <c r="I354" s="11" t="inlineStr">
        <is>
          <t>L</t>
        </is>
      </c>
      <c r="J354" s="10" t="inlineStr">
        <is>
          <t>DET 2, BOS 3</t>
        </is>
      </c>
      <c r="K354" s="10" t="inlineStr">
        <is>
          <t>DraftKings closing</t>
        </is>
      </c>
    </row>
    <row r="355">
      <c r="A355" s="9" t="n">
        <v>45990</v>
      </c>
      <c r="B355" s="10" t="inlineStr">
        <is>
          <t>PHI @ NJD</t>
        </is>
      </c>
      <c r="C355" s="13" t="n">
        <v>61.93</v>
      </c>
      <c r="D355" s="13" t="n">
        <v>71.81999999999999</v>
      </c>
      <c r="E355" s="13">
        <f>IF(OR(C355="",D355=""),"",ABS(C355-D355))</f>
        <v/>
      </c>
      <c r="F355" s="11" t="inlineStr">
        <is>
          <t>NJD</t>
        </is>
      </c>
      <c r="G355" s="12" t="n">
        <v>-140</v>
      </c>
      <c r="H355" s="14">
        <f>IF(OR(F355="",G355="",AND(I355&lt;&gt;"W",I355&lt;&gt;"L")),"",IF(I355="W",IF(G355&gt;0,G355/100,1),IF(G355&lt;0,G355/100,-1)))</f>
        <v/>
      </c>
      <c r="I355" s="11" t="inlineStr">
        <is>
          <t>L</t>
        </is>
      </c>
      <c r="J355" s="10" t="inlineStr">
        <is>
          <t>PHI 5, NJD 3</t>
        </is>
      </c>
      <c r="K355" s="10" t="inlineStr">
        <is>
          <t>ESPN BET closing</t>
        </is>
      </c>
    </row>
    <row r="356">
      <c r="A356" s="9" t="n">
        <v>45990</v>
      </c>
      <c r="B356" s="10" t="inlineStr">
        <is>
          <t>TOR @ PIT</t>
        </is>
      </c>
      <c r="C356" s="13" t="n">
        <v>66.63</v>
      </c>
      <c r="D356" s="13" t="n">
        <v>71.89</v>
      </c>
      <c r="E356" s="13">
        <f>IF(OR(C356="",D356=""),"",ABS(C356-D356))</f>
        <v/>
      </c>
      <c r="F356" s="11" t="inlineStr">
        <is>
          <t>PIT</t>
        </is>
      </c>
      <c r="G356" s="12" t="n">
        <v>-112</v>
      </c>
      <c r="H356" s="14">
        <f>IF(OR(F356="",G356="",AND(I356&lt;&gt;"W",I356&lt;&gt;"L")),"",IF(I356="W",IF(G356&gt;0,G356/100,1),IF(G356&lt;0,G356/100,-1)))</f>
        <v/>
      </c>
      <c r="I356" s="11" t="inlineStr">
        <is>
          <t>L</t>
        </is>
      </c>
      <c r="J356" s="10" t="inlineStr">
        <is>
          <t>TOR 7, PIT 2</t>
        </is>
      </c>
      <c r="K356" s="10" t="inlineStr">
        <is>
          <t>DraftKings closing</t>
        </is>
      </c>
    </row>
    <row r="357">
      <c r="A357" s="9" t="n">
        <v>45990</v>
      </c>
      <c r="B357" s="10" t="inlineStr">
        <is>
          <t>WPG @ NSH</t>
        </is>
      </c>
      <c r="C357" s="13" t="n">
        <v>52.56</v>
      </c>
      <c r="D357" s="13" t="n">
        <v>74.34</v>
      </c>
      <c r="E357" s="13">
        <f>IF(OR(C357="",D357=""),"",ABS(C357-D357))</f>
        <v/>
      </c>
      <c r="F357" s="11" t="inlineStr">
        <is>
          <t>NSH</t>
        </is>
      </c>
      <c r="G357" s="12" t="n">
        <v>114</v>
      </c>
      <c r="H357" s="14">
        <f>IF(OR(F357="",G357="",AND(I357&lt;&gt;"W",I357&lt;&gt;"L")),"",IF(I357="W",IF(G357&gt;0,G357/100,1),IF(G357&lt;0,G357/100,-1)))</f>
        <v/>
      </c>
      <c r="I357" s="11" t="inlineStr">
        <is>
          <t>L</t>
        </is>
      </c>
      <c r="J357" s="10" t="inlineStr">
        <is>
          <t>WPG 5, NSH 2</t>
        </is>
      </c>
      <c r="K357" s="10" t="inlineStr">
        <is>
          <t>DraftKings closing</t>
        </is>
      </c>
    </row>
    <row r="358">
      <c r="A358" s="9" t="n">
        <v>45990</v>
      </c>
      <c r="B358" s="10" t="inlineStr">
        <is>
          <t>UTA @ STL</t>
        </is>
      </c>
      <c r="C358" s="13" t="n">
        <v>69.52</v>
      </c>
      <c r="D358" s="13" t="n">
        <v>75.67</v>
      </c>
      <c r="E358" s="13">
        <f>IF(OR(C358="",D358=""),"",ABS(C358-D358))</f>
        <v/>
      </c>
      <c r="F358" s="11" t="inlineStr">
        <is>
          <t>STL</t>
        </is>
      </c>
      <c r="G358" s="12" t="n">
        <v>110</v>
      </c>
      <c r="H358" s="14">
        <f>IF(OR(F358="",G358="",AND(I358&lt;&gt;"W",I358&lt;&gt;"L")),"",IF(I358="W",IF(G358&gt;0,G358/100,1),IF(G358&lt;0,G358/100,-1)))</f>
        <v/>
      </c>
      <c r="I358" s="11" t="inlineStr">
        <is>
          <t>W</t>
        </is>
      </c>
      <c r="J358" s="10" t="inlineStr">
        <is>
          <t>UTA 0, STL 1</t>
        </is>
      </c>
      <c r="K358" s="10" t="inlineStr">
        <is>
          <t>ESPN BET closing</t>
        </is>
      </c>
    </row>
    <row r="359">
      <c r="A359" s="9" t="n">
        <v>45990</v>
      </c>
      <c r="B359" s="10" t="inlineStr">
        <is>
          <t>BUF @ MIN</t>
        </is>
      </c>
      <c r="C359" s="13" t="n">
        <v>68.18000000000001</v>
      </c>
      <c r="D359" s="13" t="n">
        <v>67.45999999999999</v>
      </c>
      <c r="E359" s="13">
        <f>IF(OR(C359="",D359=""),"",ABS(C359-D359))</f>
        <v/>
      </c>
      <c r="F359" s="11" t="inlineStr">
        <is>
          <t>BUF</t>
        </is>
      </c>
      <c r="G359" s="12" t="n">
        <v>120</v>
      </c>
      <c r="H359" s="14">
        <f>IF(OR(F359="",G359="",AND(I359&lt;&gt;"W",I359&lt;&gt;"L")),"",IF(I359="W",IF(G359&gt;0,G359/100,1),IF(G359&lt;0,G359/100,-1)))</f>
        <v/>
      </c>
      <c r="I359" s="11" t="inlineStr">
        <is>
          <t>W</t>
        </is>
      </c>
      <c r="J359" s="10" t="inlineStr">
        <is>
          <t>BUF 3, MIN 2</t>
        </is>
      </c>
      <c r="K359" s="10" t="inlineStr">
        <is>
          <t>ESPN BET closing</t>
        </is>
      </c>
    </row>
    <row r="360">
      <c r="A360" s="9" t="n">
        <v>45990</v>
      </c>
      <c r="B360" s="10" t="inlineStr">
        <is>
          <t>SJS @ VGK</t>
        </is>
      </c>
      <c r="C360" s="13" t="n">
        <v>67.78</v>
      </c>
      <c r="D360" s="13" t="n">
        <v>70.69</v>
      </c>
      <c r="E360" s="13">
        <f>IF(OR(C360="",D360=""),"",ABS(C360-D360))</f>
        <v/>
      </c>
      <c r="F360" s="11" t="inlineStr">
        <is>
          <t>VGK</t>
        </is>
      </c>
      <c r="G360" s="12" t="n">
        <v>-345</v>
      </c>
      <c r="H360" s="14">
        <f>IF(OR(F360="",G360="",AND(I360&lt;&gt;"W",I360&lt;&gt;"L")),"",IF(I360="W",IF(G360&gt;0,G360/100,1),IF(G360&lt;0,G360/100,-1)))</f>
        <v/>
      </c>
      <c r="I360" s="11" t="inlineStr">
        <is>
          <t>W</t>
        </is>
      </c>
      <c r="J360" s="10" t="inlineStr">
        <is>
          <t>SJS 3, VGK 4</t>
        </is>
      </c>
      <c r="K360" s="10" t="inlineStr">
        <is>
          <t>DraftKings closing</t>
        </is>
      </c>
    </row>
    <row r="361">
      <c r="A361" s="9" t="n">
        <v>45990</v>
      </c>
      <c r="B361" s="10" t="inlineStr">
        <is>
          <t>VAN @ LAK</t>
        </is>
      </c>
      <c r="C361" s="13" t="n">
        <v>72.22</v>
      </c>
      <c r="D361" s="13" t="n">
        <v>67.64</v>
      </c>
      <c r="E361" s="13">
        <f>IF(OR(C361="",D361=""),"",ABS(C361-D361))</f>
        <v/>
      </c>
      <c r="F361" s="11" t="inlineStr">
        <is>
          <t>VAN</t>
        </is>
      </c>
      <c r="G361" s="12" t="n">
        <v>145</v>
      </c>
      <c r="H361" s="14">
        <f>IF(OR(F361="",G361="",AND(I361&lt;&gt;"W",I361&lt;&gt;"L")),"",IF(I361="W",IF(G361&gt;0,G361/100,1),IF(G361&lt;0,G361/100,-1)))</f>
        <v/>
      </c>
      <c r="I361" s="11" t="inlineStr">
        <is>
          <t>L</t>
        </is>
      </c>
      <c r="J361" s="10" t="inlineStr">
        <is>
          <t>VAN 1, LAK 2</t>
        </is>
      </c>
      <c r="K361" s="10" t="inlineStr">
        <is>
          <t>ESPN BET closing</t>
        </is>
      </c>
    </row>
    <row r="362">
      <c r="A362" s="9" t="n">
        <v>45991</v>
      </c>
      <c r="B362" s="10" t="inlineStr">
        <is>
          <t>WSH @ NYI</t>
        </is>
      </c>
      <c r="C362" s="13" t="n">
        <v>73.37</v>
      </c>
      <c r="D362" s="13" t="n">
        <v>78.06999999999999</v>
      </c>
      <c r="E362" s="13">
        <f>IF(OR(C362="",D362=""),"",ABS(C362-D362))</f>
        <v/>
      </c>
      <c r="F362" s="11" t="inlineStr">
        <is>
          <t>NYI</t>
        </is>
      </c>
      <c r="G362" s="12" t="n">
        <v>115</v>
      </c>
      <c r="H362" s="14">
        <f>IF(OR(F362="",G362="",AND(I362&lt;&gt;"W",I362&lt;&gt;"L")),"",IF(I362="W",IF(G362&gt;0,G362/100,1),IF(G362&lt;0,G362/100,-1)))</f>
        <v/>
      </c>
      <c r="I362" s="11" t="inlineStr">
        <is>
          <t>L</t>
        </is>
      </c>
      <c r="J362" s="10" t="inlineStr">
        <is>
          <t>WSH 4, NYI 1</t>
        </is>
      </c>
      <c r="K362" s="10" t="inlineStr">
        <is>
          <t>ESPN BET closing</t>
        </is>
      </c>
    </row>
    <row r="363">
      <c r="A363" s="9" t="n">
        <v>45991</v>
      </c>
      <c r="B363" s="10" t="inlineStr">
        <is>
          <t>ANA @ CHI</t>
        </is>
      </c>
      <c r="C363" s="13" t="n">
        <v>72.36</v>
      </c>
      <c r="D363" s="13" t="n">
        <v>65.66</v>
      </c>
      <c r="E363" s="13">
        <f>IF(OR(C363="",D363=""),"",ABS(C363-D363))</f>
        <v/>
      </c>
      <c r="F363" s="11" t="inlineStr">
        <is>
          <t>ANA</t>
        </is>
      </c>
      <c r="G363" s="12" t="n">
        <v>-115</v>
      </c>
      <c r="H363" s="14">
        <f>IF(OR(F363="",G363="",AND(I363&lt;&gt;"W",I363&lt;&gt;"L")),"",IF(I363="W",IF(G363&gt;0,G363/100,1),IF(G363&lt;0,G363/100,-1)))</f>
        <v/>
      </c>
      <c r="I363" s="11" t="inlineStr">
        <is>
          <t>L</t>
        </is>
      </c>
      <c r="J363" s="10" t="inlineStr">
        <is>
          <t>ANA 3, CHI 5</t>
        </is>
      </c>
      <c r="K363" s="10" t="inlineStr">
        <is>
          <t>ESPN BET closing</t>
        </is>
      </c>
    </row>
    <row r="364">
      <c r="A364" s="9" t="n">
        <v>45991</v>
      </c>
      <c r="B364" s="10" t="inlineStr">
        <is>
          <t>CGY @ CAR</t>
        </is>
      </c>
      <c r="C364" s="13" t="n">
        <v>64.01000000000001</v>
      </c>
      <c r="D364" s="13" t="n">
        <v>87.44</v>
      </c>
      <c r="E364" s="13">
        <f>IF(OR(C364="",D364=""),"",ABS(C364-D364))</f>
        <v/>
      </c>
      <c r="F364" s="11" t="inlineStr">
        <is>
          <t>CAR</t>
        </is>
      </c>
      <c r="G364" s="12" t="n">
        <v>-260</v>
      </c>
      <c r="H364" s="14">
        <f>IF(OR(F364="",G364="",AND(I364&lt;&gt;"W",I364&lt;&gt;"L")),"",IF(I364="W",IF(G364&gt;0,G364/100,1),IF(G364&lt;0,G364/100,-1)))</f>
        <v/>
      </c>
      <c r="I364" s="11" t="inlineStr">
        <is>
          <t>W</t>
        </is>
      </c>
      <c r="J364" s="10" t="inlineStr">
        <is>
          <t>CGY 0, CAR 1</t>
        </is>
      </c>
      <c r="K364" s="10" t="inlineStr">
        <is>
          <t>ESPN BET closing</t>
        </is>
      </c>
    </row>
    <row r="365">
      <c r="A365" s="9" t="n">
        <v>45991</v>
      </c>
      <c r="B365" s="10" t="inlineStr">
        <is>
          <t>OTT @ DAL</t>
        </is>
      </c>
      <c r="C365" s="13" t="n">
        <v>64.33</v>
      </c>
      <c r="D365" s="13" t="n">
        <v>70.48</v>
      </c>
      <c r="E365" s="13">
        <f>IF(OR(C365="",D365=""),"",ABS(C365-D365))</f>
        <v/>
      </c>
      <c r="F365" s="11" t="inlineStr">
        <is>
          <t>DAL</t>
        </is>
      </c>
      <c r="G365" s="12" t="n">
        <v>-130</v>
      </c>
      <c r="H365" s="14">
        <f>IF(OR(F365="",G365="",AND(I365&lt;&gt;"W",I365&lt;&gt;"L")),"",IF(I365="W",IF(G365&gt;0,G365/100,1),IF(G365&lt;0,G365/100,-1)))</f>
        <v/>
      </c>
      <c r="I365" s="11" t="inlineStr">
        <is>
          <t>W</t>
        </is>
      </c>
      <c r="J365" s="10" t="inlineStr">
        <is>
          <t>OTT 1, DAL 6</t>
        </is>
      </c>
      <c r="K365" s="10" t="inlineStr">
        <is>
          <t>DraftKings closing</t>
        </is>
      </c>
    </row>
    <row r="366">
      <c r="A366" s="9" t="n">
        <v>45992</v>
      </c>
      <c r="B366" s="10" t="inlineStr">
        <is>
          <t>CBJ @ NJD</t>
        </is>
      </c>
      <c r="C366" s="13" t="n">
        <v>68.11</v>
      </c>
      <c r="D366" s="13" t="n">
        <v>68.05</v>
      </c>
      <c r="E366" s="13">
        <f>IF(OR(C366="",D366=""),"",ABS(C366-D366))</f>
        <v/>
      </c>
      <c r="F366" s="11" t="inlineStr">
        <is>
          <t>CBJ</t>
        </is>
      </c>
      <c r="G366" s="12" t="n">
        <v>124</v>
      </c>
      <c r="H366" s="14">
        <f>IF(OR(F366="",G366="",AND(I366&lt;&gt;"W",I366&lt;&gt;"L")),"",IF(I366="W",IF(G366&gt;0,G366/100,1),IF(G366&lt;0,G366/100,-1)))</f>
        <v/>
      </c>
      <c r="I366" s="11" t="inlineStr">
        <is>
          <t>W</t>
        </is>
      </c>
      <c r="J366" s="10" t="inlineStr">
        <is>
          <t>CBJ 5, NJD 3</t>
        </is>
      </c>
      <c r="K366" s="10" t="inlineStr">
        <is>
          <t>DraftKings closing</t>
        </is>
      </c>
    </row>
    <row r="367">
      <c r="A367" s="9" t="n">
        <v>45992</v>
      </c>
      <c r="B367" s="10" t="inlineStr">
        <is>
          <t>PIT @ PHI</t>
        </is>
      </c>
      <c r="C367" s="13" t="n">
        <v>66.95</v>
      </c>
      <c r="D367" s="13" t="n">
        <v>71.95</v>
      </c>
      <c r="E367" s="13">
        <f>IF(OR(C367="",D367=""),"",ABS(C367-D367))</f>
        <v/>
      </c>
      <c r="F367" s="11" t="inlineStr">
        <is>
          <t>PHI</t>
        </is>
      </c>
      <c r="G367" s="12" t="n">
        <v>-135</v>
      </c>
      <c r="H367" s="14">
        <f>IF(OR(F367="",G367="",AND(I367&lt;&gt;"W",I367&lt;&gt;"L")),"",IF(I367="W",IF(G367&gt;0,G367/100,1),IF(G367&lt;0,G367/100,-1)))</f>
        <v/>
      </c>
      <c r="I367" s="11" t="inlineStr">
        <is>
          <t>L</t>
        </is>
      </c>
      <c r="J367" s="10" t="inlineStr">
        <is>
          <t>PIT 5, PHI 1</t>
        </is>
      </c>
      <c r="K367" s="10" t="inlineStr">
        <is>
          <t>DraftKings closing</t>
        </is>
      </c>
    </row>
    <row r="368">
      <c r="A368" s="9" t="n">
        <v>45992</v>
      </c>
      <c r="B368" s="10" t="inlineStr">
        <is>
          <t>WPG @ BUF</t>
        </is>
      </c>
      <c r="C368" s="13" t="n">
        <v>79.09999999999999</v>
      </c>
      <c r="D368" s="13" t="n">
        <v>74.73</v>
      </c>
      <c r="E368" s="13">
        <f>IF(OR(C368="",D368=""),"",ABS(C368-D368))</f>
        <v/>
      </c>
      <c r="F368" s="11" t="inlineStr">
        <is>
          <t>WPG</t>
        </is>
      </c>
      <c r="G368" s="12" t="n">
        <v>-105</v>
      </c>
      <c r="H368" s="14">
        <f>IF(OR(F368="",G368="",AND(I368&lt;&gt;"W",I368&lt;&gt;"L")),"",IF(I368="W",IF(G368&gt;0,G368/100,1),IF(G368&lt;0,G368/100,-1)))</f>
        <v/>
      </c>
      <c r="I368" s="11" t="inlineStr">
        <is>
          <t>L</t>
        </is>
      </c>
      <c r="J368" s="10" t="inlineStr">
        <is>
          <t>WPG 1, BUF 5</t>
        </is>
      </c>
      <c r="K368" s="10" t="inlineStr">
        <is>
          <t>DraftKings closing</t>
        </is>
      </c>
    </row>
    <row r="369">
      <c r="A369" s="9" t="n">
        <v>45992</v>
      </c>
      <c r="B369" s="10" t="inlineStr">
        <is>
          <t>ANA @ STL</t>
        </is>
      </c>
      <c r="C369" s="13" t="n">
        <v>69.59</v>
      </c>
      <c r="D369" s="13" t="n">
        <v>69.53</v>
      </c>
      <c r="E369" s="13">
        <f>IF(OR(C369="",D369=""),"",ABS(C369-D369))</f>
        <v/>
      </c>
      <c r="F369" s="11" t="inlineStr">
        <is>
          <t>ANA</t>
        </is>
      </c>
      <c r="G369" s="12" t="n">
        <v>124</v>
      </c>
      <c r="H369" s="14">
        <f>IF(OR(F369="",G369="",AND(I369&lt;&gt;"W",I369&lt;&gt;"L")),"",IF(I369="W",IF(G369&gt;0,G369/100,1),IF(G369&lt;0,G369/100,-1)))</f>
        <v/>
      </c>
      <c r="I369" s="11" t="inlineStr">
        <is>
          <t>W</t>
        </is>
      </c>
      <c r="J369" s="10" t="inlineStr">
        <is>
          <t>ANA 4, STL 1</t>
        </is>
      </c>
      <c r="K369" s="10" t="inlineStr">
        <is>
          <t>DraftKings closing</t>
        </is>
      </c>
    </row>
    <row r="370">
      <c r="A370" s="9" t="n">
        <v>45992</v>
      </c>
      <c r="B370" s="10" t="inlineStr">
        <is>
          <t>UTA @ SJS</t>
        </is>
      </c>
      <c r="C370" s="13" t="n">
        <v>70.47</v>
      </c>
      <c r="D370" s="13" t="n">
        <v>62.78</v>
      </c>
      <c r="E370" s="13">
        <f>IF(OR(C370="",D370=""),"",ABS(C370-D370))</f>
        <v/>
      </c>
      <c r="F370" s="11" t="inlineStr">
        <is>
          <t>UTA</t>
        </is>
      </c>
      <c r="G370" s="12" t="n">
        <v>-185</v>
      </c>
      <c r="H370" s="14">
        <f>IF(OR(F370="",G370="",AND(I370&lt;&gt;"W",I370&lt;&gt;"L")),"",IF(I370="W",IF(G370&gt;0,G370/100,1),IF(G370&lt;0,G370/100,-1)))</f>
        <v/>
      </c>
      <c r="I370" s="11" t="inlineStr">
        <is>
          <t>L</t>
        </is>
      </c>
      <c r="J370" s="10" t="inlineStr">
        <is>
          <t>UTA 3, SJS 6</t>
        </is>
      </c>
      <c r="K370" s="10" t="inlineStr">
        <is>
          <t>DraftKings closing</t>
        </is>
      </c>
    </row>
    <row r="371">
      <c r="A371" s="9" t="n">
        <v>45993</v>
      </c>
      <c r="B371" s="10" t="inlineStr">
        <is>
          <t>OTT @ MTL</t>
        </is>
      </c>
      <c r="C371" s="13" t="n">
        <v>58.73</v>
      </c>
      <c r="D371" s="13" t="n">
        <v>45.6</v>
      </c>
      <c r="E371" s="13">
        <f>IF(OR(C371="",D371=""),"",ABS(C371-D371))</f>
        <v/>
      </c>
      <c r="F371" s="11" t="inlineStr">
        <is>
          <t>OTT</t>
        </is>
      </c>
      <c r="G371" s="12" t="n">
        <v>-125</v>
      </c>
      <c r="H371" s="14">
        <f>IF(OR(F371="",G371="",AND(I371&lt;&gt;"W",I371&lt;&gt;"L")),"",IF(I371="W",IF(G371&gt;0,G371/100,1),IF(G371&lt;0,G371/100,-1)))</f>
        <v/>
      </c>
      <c r="I371" s="11" t="inlineStr">
        <is>
          <t>W</t>
        </is>
      </c>
      <c r="J371" s="10" t="inlineStr">
        <is>
          <t>OTT 5, MTL 2</t>
        </is>
      </c>
      <c r="K371" s="10" t="inlineStr">
        <is>
          <t>DraftKings closing</t>
        </is>
      </c>
    </row>
    <row r="372">
      <c r="A372" s="9" t="n">
        <v>45993</v>
      </c>
      <c r="B372" s="10" t="inlineStr">
        <is>
          <t>BOS @ DET</t>
        </is>
      </c>
      <c r="C372" s="13" t="n">
        <v>65.20999999999999</v>
      </c>
      <c r="D372" s="13" t="n">
        <v>74.79000000000001</v>
      </c>
      <c r="E372" s="13">
        <f>IF(OR(C372="",D372=""),"",ABS(C372-D372))</f>
        <v/>
      </c>
      <c r="F372" s="11" t="inlineStr">
        <is>
          <t>DET</t>
        </is>
      </c>
      <c r="G372" s="12" t="n">
        <v>-192</v>
      </c>
      <c r="H372" s="14">
        <f>IF(OR(F372="",G372="",AND(I372&lt;&gt;"W",I372&lt;&gt;"L")),"",IF(I372="W",IF(G372&gt;0,G372/100,1),IF(G372&lt;0,G372/100,-1)))</f>
        <v/>
      </c>
      <c r="I372" s="11" t="inlineStr">
        <is>
          <t>W</t>
        </is>
      </c>
      <c r="J372" s="10" t="inlineStr">
        <is>
          <t>BOS 4, DET 5</t>
        </is>
      </c>
      <c r="K372" s="10" t="inlineStr">
        <is>
          <t>DraftKings closing</t>
        </is>
      </c>
    </row>
    <row r="373">
      <c r="A373" s="9" t="n">
        <v>45993</v>
      </c>
      <c r="B373" s="10" t="inlineStr">
        <is>
          <t>TBL @ NYI</t>
        </is>
      </c>
      <c r="C373" s="13" t="n">
        <v>88.44</v>
      </c>
      <c r="D373" s="13" t="n">
        <v>71.83</v>
      </c>
      <c r="E373" s="13">
        <f>IF(OR(C373="",D373=""),"",ABS(C373-D373))</f>
        <v/>
      </c>
      <c r="F373" s="11" t="inlineStr">
        <is>
          <t>TBL</t>
        </is>
      </c>
      <c r="G373" s="12" t="n">
        <v>-122</v>
      </c>
      <c r="H373" s="14">
        <f>IF(OR(F373="",G373="",AND(I373&lt;&gt;"W",I373&lt;&gt;"L")),"",IF(I373="W",IF(G373&gt;0,G373/100,1),IF(G373&lt;0,G373/100,-1)))</f>
        <v/>
      </c>
      <c r="I373" s="11" t="inlineStr">
        <is>
          <t>L</t>
        </is>
      </c>
      <c r="J373" s="10" t="inlineStr">
        <is>
          <t>TBL 1, NYI 2</t>
        </is>
      </c>
      <c r="K373" s="10" t="inlineStr">
        <is>
          <t>DraftKings closing</t>
        </is>
      </c>
    </row>
    <row r="374">
      <c r="A374" s="9" t="n">
        <v>45993</v>
      </c>
      <c r="B374" s="10" t="inlineStr">
        <is>
          <t>DAL @ NYR</t>
        </is>
      </c>
      <c r="C374" s="13" t="n">
        <v>81.27</v>
      </c>
      <c r="D374" s="13" t="n">
        <v>51.56</v>
      </c>
      <c r="E374" s="13">
        <f>IF(OR(C374="",D374=""),"",ABS(C374-D374))</f>
        <v/>
      </c>
      <c r="F374" s="11" t="inlineStr">
        <is>
          <t>DAL</t>
        </is>
      </c>
      <c r="G374" s="12" t="n">
        <v>-125</v>
      </c>
      <c r="H374" s="14">
        <f>IF(OR(F374="",G374="",AND(I374&lt;&gt;"W",I374&lt;&gt;"L")),"",IF(I374="W",IF(G374&gt;0,G374/100,1),IF(G374&lt;0,G374/100,-1)))</f>
        <v/>
      </c>
      <c r="I374" s="11" t="inlineStr">
        <is>
          <t>L</t>
        </is>
      </c>
      <c r="J374" s="10" t="inlineStr">
        <is>
          <t>DAL 2, NYR 3</t>
        </is>
      </c>
      <c r="K374" s="10" t="inlineStr">
        <is>
          <t>DraftKings closing</t>
        </is>
      </c>
    </row>
    <row r="375">
      <c r="A375" s="9" t="n">
        <v>45993</v>
      </c>
      <c r="B375" s="10" t="inlineStr">
        <is>
          <t>TOR @ FLA</t>
        </is>
      </c>
      <c r="C375" s="13" t="n">
        <v>73.05</v>
      </c>
      <c r="D375" s="13" t="n">
        <v>75.98999999999999</v>
      </c>
      <c r="E375" s="13">
        <f>IF(OR(C375="",D375=""),"",ABS(C375-D375))</f>
        <v/>
      </c>
      <c r="F375" s="11" t="inlineStr">
        <is>
          <t>FLA</t>
        </is>
      </c>
      <c r="G375" s="12" t="n">
        <v>-170</v>
      </c>
      <c r="H375" s="14">
        <f>IF(OR(F375="",G375="",AND(I375&lt;&gt;"W",I375&lt;&gt;"L")),"",IF(I375="W",IF(G375&gt;0,G375/100,1),IF(G375&lt;0,G375/100,-1)))</f>
        <v/>
      </c>
      <c r="I375" s="11" t="inlineStr">
        <is>
          <t>L</t>
        </is>
      </c>
      <c r="J375" s="10" t="inlineStr">
        <is>
          <t>TOR 4, FLA 1</t>
        </is>
      </c>
      <c r="K375" s="10" t="inlineStr">
        <is>
          <t>DraftKings closing</t>
        </is>
      </c>
    </row>
    <row r="376">
      <c r="A376" s="9" t="n">
        <v>45993</v>
      </c>
      <c r="B376" s="10" t="inlineStr">
        <is>
          <t>CGY @ NSH</t>
        </is>
      </c>
      <c r="C376" s="13" t="n">
        <v>56.63</v>
      </c>
      <c r="D376" s="13" t="n">
        <v>60.9</v>
      </c>
      <c r="E376" s="13">
        <f>IF(OR(C376="",D376=""),"",ABS(C376-D376))</f>
        <v/>
      </c>
      <c r="F376" s="11" t="inlineStr">
        <is>
          <t>NSH</t>
        </is>
      </c>
      <c r="G376" s="12" t="n">
        <v>-125</v>
      </c>
      <c r="H376" s="14">
        <f>IF(OR(F376="",G376="",AND(I376&lt;&gt;"W",I376&lt;&gt;"L")),"",IF(I376="W",IF(G376&gt;0,G376/100,1),IF(G376&lt;0,G376/100,-1)))</f>
        <v/>
      </c>
      <c r="I376" s="11" t="inlineStr">
        <is>
          <t>W</t>
        </is>
      </c>
      <c r="J376" s="10" t="inlineStr">
        <is>
          <t>CGY 1, NSH 5</t>
        </is>
      </c>
      <c r="K376" s="10" t="inlineStr">
        <is>
          <t>DraftKings closing</t>
        </is>
      </c>
    </row>
    <row r="377">
      <c r="A377" s="9" t="n">
        <v>45993</v>
      </c>
      <c r="B377" s="10" t="inlineStr">
        <is>
          <t>VAN @ COL</t>
        </is>
      </c>
      <c r="C377" s="13" t="n">
        <v>68.31</v>
      </c>
      <c r="D377" s="13" t="n">
        <v>94.40000000000001</v>
      </c>
      <c r="E377" s="13">
        <f>IF(OR(C377="",D377=""),"",ABS(C377-D377))</f>
        <v/>
      </c>
      <c r="F377" s="11" t="inlineStr">
        <is>
          <t>COL</t>
        </is>
      </c>
      <c r="G377" s="12" t="n">
        <v>-355</v>
      </c>
      <c r="H377" s="14">
        <f>IF(OR(F377="",G377="",AND(I377&lt;&gt;"W",I377&lt;&gt;"L")),"",IF(I377="W",IF(G377&gt;0,G377/100,1),IF(G377&lt;0,G377/100,-1)))</f>
        <v/>
      </c>
      <c r="I377" s="11" t="inlineStr">
        <is>
          <t>W</t>
        </is>
      </c>
      <c r="J377" s="10" t="inlineStr">
        <is>
          <t>VAN 1, COL 3</t>
        </is>
      </c>
      <c r="K377" s="10" t="inlineStr">
        <is>
          <t>DraftKings closing</t>
        </is>
      </c>
    </row>
    <row r="378">
      <c r="A378" s="9" t="n">
        <v>45993</v>
      </c>
      <c r="B378" s="10" t="inlineStr">
        <is>
          <t>MIN @ EDM</t>
        </is>
      </c>
      <c r="C378" s="13" t="n">
        <v>65.27</v>
      </c>
      <c r="D378" s="13" t="n">
        <v>86.25</v>
      </c>
      <c r="E378" s="13">
        <f>IF(OR(C378="",D378=""),"",ABS(C378-D378))</f>
        <v/>
      </c>
      <c r="F378" s="11" t="inlineStr">
        <is>
          <t>EDM</t>
        </is>
      </c>
      <c r="G378" s="12" t="n">
        <v>-148</v>
      </c>
      <c r="H378" s="14">
        <f>IF(OR(F378="",G378="",AND(I378&lt;&gt;"W",I378&lt;&gt;"L")),"",IF(I378="W",IF(G378&gt;0,G378/100,1),IF(G378&lt;0,G378/100,-1)))</f>
        <v/>
      </c>
      <c r="I378" s="11" t="inlineStr">
        <is>
          <t>L</t>
        </is>
      </c>
      <c r="J378" s="10" t="inlineStr">
        <is>
          <t>MIN 1, EDM 0</t>
        </is>
      </c>
      <c r="K378" s="10" t="inlineStr">
        <is>
          <t>DraftKings closing</t>
        </is>
      </c>
    </row>
    <row r="379">
      <c r="A379" s="9" t="n">
        <v>45993</v>
      </c>
      <c r="B379" s="10" t="inlineStr">
        <is>
          <t>CHI @ VGK</t>
        </is>
      </c>
      <c r="C379" s="13" t="n">
        <v>70.41</v>
      </c>
      <c r="D379" s="13" t="n">
        <v>77.22</v>
      </c>
      <c r="E379" s="13">
        <f>IF(OR(C379="",D379=""),"",ABS(C379-D379))</f>
        <v/>
      </c>
      <c r="F379" s="11" t="inlineStr">
        <is>
          <t>VGK</t>
        </is>
      </c>
      <c r="G379" s="12" t="n">
        <v>-278</v>
      </c>
      <c r="H379" s="14">
        <f>IF(OR(F379="",G379="",AND(I379&lt;&gt;"W",I379&lt;&gt;"L")),"",IF(I379="W",IF(G379&gt;0,G379/100,1),IF(G379&lt;0,G379/100,-1)))</f>
        <v/>
      </c>
      <c r="I379" s="11" t="inlineStr">
        <is>
          <t>W</t>
        </is>
      </c>
      <c r="J379" s="10" t="inlineStr">
        <is>
          <t>CHI 3, VGK 4</t>
        </is>
      </c>
      <c r="K379" s="10" t="inlineStr">
        <is>
          <t>DraftKings closing</t>
        </is>
      </c>
    </row>
    <row r="380">
      <c r="A380" s="9" t="n">
        <v>45993</v>
      </c>
      <c r="B380" s="10" t="inlineStr">
        <is>
          <t>WSH @ LAK</t>
        </is>
      </c>
      <c r="C380" s="13" t="n">
        <v>68.17</v>
      </c>
      <c r="D380" s="13" t="n">
        <v>71.69</v>
      </c>
      <c r="E380" s="13">
        <f>IF(OR(C380="",D380=""),"",ABS(C380-D380))</f>
        <v/>
      </c>
      <c r="F380" s="11" t="inlineStr">
        <is>
          <t>LAK</t>
        </is>
      </c>
      <c r="G380" s="12" t="n">
        <v>-120</v>
      </c>
      <c r="H380" s="14">
        <f>IF(OR(F380="",G380="",AND(I380&lt;&gt;"W",I380&lt;&gt;"L")),"",IF(I380="W",IF(G380&gt;0,G380/100,1),IF(G380&lt;0,G380/100,-1)))</f>
        <v/>
      </c>
      <c r="I380" s="11" t="inlineStr">
        <is>
          <t>L</t>
        </is>
      </c>
      <c r="J380" s="10" t="inlineStr">
        <is>
          <t>WSH 3, LAK 1</t>
        </is>
      </c>
      <c r="K380" s="10" t="inlineStr">
        <is>
          <t>DraftKings closing</t>
        </is>
      </c>
    </row>
    <row r="381">
      <c r="A381" s="9" t="n">
        <v>45994</v>
      </c>
      <c r="B381" s="10" t="inlineStr">
        <is>
          <t>DAL @ NJD</t>
        </is>
      </c>
      <c r="C381" s="13" t="n">
        <v>62.87</v>
      </c>
      <c r="D381" s="13" t="n">
        <v>69.51000000000001</v>
      </c>
      <c r="E381" s="13">
        <f>IF(OR(C381="",D381=""),"",ABS(C381-D381))</f>
        <v/>
      </c>
      <c r="F381" s="11" t="inlineStr">
        <is>
          <t>NJD</t>
        </is>
      </c>
      <c r="G381" s="12" t="n">
        <v>-115</v>
      </c>
      <c r="H381" s="14">
        <f>IF(OR(F381="",G381="",AND(I381&lt;&gt;"W",I381&lt;&gt;"L")),"",IF(I381="W",IF(G381&gt;0,G381/100,1),IF(G381&lt;0,G381/100,-1)))</f>
        <v/>
      </c>
      <c r="I381" s="11" t="inlineStr">
        <is>
          <t>L</t>
        </is>
      </c>
      <c r="J381" s="10" t="inlineStr">
        <is>
          <t>DAL 3, NJD 0</t>
        </is>
      </c>
      <c r="K381" s="10" t="inlineStr">
        <is>
          <t>DraftKings closing</t>
        </is>
      </c>
    </row>
    <row r="382">
      <c r="A382" s="9" t="n">
        <v>45994</v>
      </c>
      <c r="B382" s="10" t="inlineStr">
        <is>
          <t>WPG @ MTL</t>
        </is>
      </c>
      <c r="C382" s="13" t="n">
        <v>50.99</v>
      </c>
      <c r="D382" s="13" t="n">
        <v>52.87</v>
      </c>
      <c r="E382" s="13">
        <f>IF(OR(C382="",D382=""),"",ABS(C382-D382))</f>
        <v/>
      </c>
      <c r="F382" s="11" t="inlineStr">
        <is>
          <t>MTL</t>
        </is>
      </c>
      <c r="G382" s="12" t="n">
        <v>114</v>
      </c>
      <c r="H382" s="14">
        <f>IF(OR(F382="",G382="",AND(I382&lt;&gt;"W",I382&lt;&gt;"L")),"",IF(I382="W",IF(G382&gt;0,G382/100,1),IF(G382&lt;0,G382/100,-1)))</f>
        <v/>
      </c>
      <c r="I382" s="11" t="inlineStr">
        <is>
          <t>W</t>
        </is>
      </c>
      <c r="J382" s="10" t="inlineStr">
        <is>
          <t>WPG 2, MTL 3</t>
        </is>
      </c>
      <c r="K382" s="10" t="inlineStr">
        <is>
          <t>DraftKings closing</t>
        </is>
      </c>
    </row>
    <row r="383">
      <c r="A383" s="9" t="n">
        <v>45994</v>
      </c>
      <c r="B383" s="10" t="inlineStr">
        <is>
          <t>BUF @ PHI</t>
        </is>
      </c>
      <c r="C383" s="13" t="n">
        <v>89.01000000000001</v>
      </c>
      <c r="D383" s="13" t="n">
        <v>55.11</v>
      </c>
      <c r="E383" s="13">
        <f>IF(OR(C383="",D383=""),"",ABS(C383-D383))</f>
        <v/>
      </c>
      <c r="F383" s="11" t="inlineStr">
        <is>
          <t>BUF</t>
        </is>
      </c>
      <c r="G383" s="12" t="n">
        <v>-125</v>
      </c>
      <c r="H383" s="14">
        <f>IF(OR(F383="",G383="",AND(I383&lt;&gt;"W",I383&lt;&gt;"L")),"",IF(I383="W",IF(G383&gt;0,G383/100,1),IF(G383&lt;0,G383/100,-1)))</f>
        <v/>
      </c>
      <c r="I383" s="11" t="inlineStr">
        <is>
          <t>L</t>
        </is>
      </c>
      <c r="J383" s="10" t="inlineStr">
        <is>
          <t>BUF 2, PHI 5</t>
        </is>
      </c>
      <c r="K383" s="10" t="inlineStr">
        <is>
          <t>DraftKings closing</t>
        </is>
      </c>
    </row>
    <row r="384">
      <c r="A384" s="9" t="n">
        <v>45994</v>
      </c>
      <c r="B384" s="10" t="inlineStr">
        <is>
          <t>UTA @ ANA</t>
        </is>
      </c>
      <c r="C384" s="13" t="n">
        <v>57.97</v>
      </c>
      <c r="D384" s="13" t="n">
        <v>76.55</v>
      </c>
      <c r="E384" s="13">
        <f>IF(OR(C384="",D384=""),"",ABS(C384-D384))</f>
        <v/>
      </c>
      <c r="F384" s="11" t="inlineStr">
        <is>
          <t>ANA</t>
        </is>
      </c>
      <c r="G384" s="12" t="n">
        <v>-108</v>
      </c>
      <c r="H384" s="14">
        <f>IF(OR(F384="",G384="",AND(I384&lt;&gt;"W",I384&lt;&gt;"L")),"",IF(I384="W",IF(G384&gt;0,G384/100,1),IF(G384&lt;0,G384/100,-1)))</f>
        <v/>
      </c>
      <c r="I384" s="11" t="inlineStr">
        <is>
          <t>L</t>
        </is>
      </c>
      <c r="J384" s="10" t="inlineStr">
        <is>
          <t>UTA 7, ANA 0</t>
        </is>
      </c>
      <c r="K384" s="10" t="inlineStr">
        <is>
          <t>DraftKings closing</t>
        </is>
      </c>
    </row>
    <row r="385">
      <c r="A385" s="9" t="n">
        <v>45994</v>
      </c>
      <c r="B385" s="10" t="inlineStr">
        <is>
          <t>WSH @ SJS</t>
        </is>
      </c>
      <c r="C385" s="13" t="n">
        <v>68.63</v>
      </c>
      <c r="D385" s="13" t="n">
        <v>82.03</v>
      </c>
      <c r="E385" s="13">
        <f>IF(OR(C385="",D385=""),"",ABS(C385-D385))</f>
        <v/>
      </c>
      <c r="F385" s="11" t="inlineStr">
        <is>
          <t>SJS</t>
        </is>
      </c>
      <c r="G385" s="12" t="n">
        <v>124</v>
      </c>
      <c r="H385" s="14">
        <f>IF(OR(F385="",G385="",AND(I385&lt;&gt;"W",I385&lt;&gt;"L")),"",IF(I385="W",IF(G385&gt;0,G385/100,1),IF(G385&lt;0,G385/100,-1)))</f>
        <v/>
      </c>
      <c r="I385" s="11" t="inlineStr">
        <is>
          <t>L</t>
        </is>
      </c>
      <c r="J385" s="10" t="inlineStr">
        <is>
          <t>WSH 7, SJS 1</t>
        </is>
      </c>
      <c r="K385" s="10" t="inlineStr">
        <is>
          <t>DraftKings closing</t>
        </is>
      </c>
    </row>
    <row r="386">
      <c r="A386" s="9" t="n">
        <v>45995</v>
      </c>
      <c r="B386" s="10" t="inlineStr">
        <is>
          <t>STL @ BOS</t>
        </is>
      </c>
      <c r="C386" s="13" t="n">
        <v>63.45</v>
      </c>
      <c r="D386" s="13" t="n">
        <v>64.17</v>
      </c>
      <c r="E386" s="13">
        <f>IF(OR(C386="",D386=""),"",ABS(C386-D386))</f>
        <v/>
      </c>
      <c r="F386" s="11" t="inlineStr">
        <is>
          <t>BOS</t>
        </is>
      </c>
      <c r="G386" s="12" t="n">
        <v>120</v>
      </c>
      <c r="H386" s="14">
        <f>IF(OR(F386="",G386="",AND(I386&lt;&gt;"W",I386&lt;&gt;"L")),"",IF(I386="W",IF(G386&gt;0,G386/100,1),IF(G386&lt;0,G386/100,-1)))</f>
        <v/>
      </c>
      <c r="I386" s="11" t="inlineStr">
        <is>
          <t>W</t>
        </is>
      </c>
      <c r="J386" s="10" t="inlineStr">
        <is>
          <t>STL 2, BOS 5</t>
        </is>
      </c>
      <c r="K386" s="10" t="inlineStr">
        <is>
          <t>DraftKings closing</t>
        </is>
      </c>
    </row>
    <row r="387">
      <c r="A387" s="9" t="n">
        <v>45995</v>
      </c>
      <c r="B387" s="10" t="inlineStr">
        <is>
          <t>NYR @ OTT</t>
        </is>
      </c>
      <c r="C387" s="13" t="n">
        <v>77.13</v>
      </c>
      <c r="D387" s="13" t="n">
        <v>87.13</v>
      </c>
      <c r="E387" s="13">
        <f>IF(OR(C387="",D387=""),"",ABS(C387-D387))</f>
        <v/>
      </c>
      <c r="F387" s="11" t="inlineStr">
        <is>
          <t>OTT</t>
        </is>
      </c>
      <c r="G387" s="12" t="n">
        <v>-135</v>
      </c>
      <c r="H387" s="14">
        <f>IF(OR(F387="",G387="",AND(I387&lt;&gt;"W",I387&lt;&gt;"L")),"",IF(I387="W",IF(G387&gt;0,G387/100,1),IF(G387&lt;0,G387/100,-1)))</f>
        <v/>
      </c>
      <c r="I387" s="11" t="inlineStr">
        <is>
          <t>L</t>
        </is>
      </c>
      <c r="J387" s="10" t="inlineStr">
        <is>
          <t>NYR 4, OTT 2</t>
        </is>
      </c>
      <c r="K387" s="10" t="inlineStr">
        <is>
          <t>DraftKings closing</t>
        </is>
      </c>
    </row>
    <row r="388">
      <c r="A388" s="9" t="n">
        <v>45995</v>
      </c>
      <c r="B388" s="10" t="inlineStr">
        <is>
          <t>PIT @ TBL</t>
        </is>
      </c>
      <c r="C388" s="13" t="n">
        <v>84.89</v>
      </c>
      <c r="D388" s="13" t="n">
        <v>76.67</v>
      </c>
      <c r="E388" s="13">
        <f>IF(OR(C388="",D388=""),"",ABS(C388-D388))</f>
        <v/>
      </c>
      <c r="F388" s="11" t="inlineStr">
        <is>
          <t>PIT</t>
        </is>
      </c>
      <c r="G388" s="12" t="n">
        <v>130</v>
      </c>
      <c r="H388" s="14">
        <f>IF(OR(F388="",G388="",AND(I388&lt;&gt;"W",I388&lt;&gt;"L")),"",IF(I388="W",IF(G388&gt;0,G388/100,1),IF(G388&lt;0,G388/100,-1)))</f>
        <v/>
      </c>
      <c r="I388" s="11" t="inlineStr">
        <is>
          <t>W</t>
        </is>
      </c>
      <c r="J388" s="10" t="inlineStr">
        <is>
          <t>PIT 4, TBL 3</t>
        </is>
      </c>
      <c r="K388" s="10" t="inlineStr">
        <is>
          <t>DraftKings closing</t>
        </is>
      </c>
    </row>
    <row r="389">
      <c r="A389" s="9" t="n">
        <v>45995</v>
      </c>
      <c r="B389" s="10" t="inlineStr">
        <is>
          <t>NSH @ FLA</t>
        </is>
      </c>
      <c r="C389" s="13" t="n">
        <v>85.39</v>
      </c>
      <c r="D389" s="13" t="n">
        <v>59.45</v>
      </c>
      <c r="E389" s="13">
        <f>IF(OR(C389="",D389=""),"",ABS(C389-D389))</f>
        <v/>
      </c>
      <c r="F389" s="11" t="inlineStr">
        <is>
          <t>NSH</t>
        </is>
      </c>
      <c r="G389" s="12" t="n">
        <v>154</v>
      </c>
      <c r="H389" s="14">
        <f>IF(OR(F389="",G389="",AND(I389&lt;&gt;"W",I389&lt;&gt;"L")),"",IF(I389="W",IF(G389&gt;0,G389/100,1),IF(G389&lt;0,G389/100,-1)))</f>
        <v/>
      </c>
      <c r="I389" s="11" t="inlineStr">
        <is>
          <t>W</t>
        </is>
      </c>
      <c r="J389" s="10" t="inlineStr">
        <is>
          <t>NSH 2, FLA 1</t>
        </is>
      </c>
      <c r="K389" s="10" t="inlineStr">
        <is>
          <t>DraftKings closing</t>
        </is>
      </c>
    </row>
    <row r="390">
      <c r="A390" s="9" t="n">
        <v>45995</v>
      </c>
      <c r="B390" s="10" t="inlineStr">
        <is>
          <t>COL @ NYI</t>
        </is>
      </c>
      <c r="C390" s="13" t="n">
        <v>79.84</v>
      </c>
      <c r="D390" s="13" t="n">
        <v>63.33</v>
      </c>
      <c r="E390" s="13">
        <f>IF(OR(C390="",D390=""),"",ABS(C390-D390))</f>
        <v/>
      </c>
      <c r="F390" s="11" t="inlineStr">
        <is>
          <t>COL</t>
        </is>
      </c>
      <c r="G390" s="12" t="n">
        <v>-185</v>
      </c>
      <c r="H390" s="14">
        <f>IF(OR(F390="",G390="",AND(I390&lt;&gt;"W",I390&lt;&gt;"L")),"",IF(I390="W",IF(G390&gt;0,G390/100,1),IF(G390&lt;0,G390/100,-1)))</f>
        <v/>
      </c>
      <c r="I390" s="11" t="inlineStr">
        <is>
          <t>L</t>
        </is>
      </c>
      <c r="J390" s="10" t="inlineStr">
        <is>
          <t>COL 3, NYI 6</t>
        </is>
      </c>
      <c r="K390" s="10" t="inlineStr">
        <is>
          <t>DraftKings closing</t>
        </is>
      </c>
    </row>
    <row r="391">
      <c r="A391" s="9" t="n">
        <v>45995</v>
      </c>
      <c r="B391" s="10" t="inlineStr">
        <is>
          <t>TOR @ CAR</t>
        </is>
      </c>
      <c r="C391" s="13" t="n">
        <v>80.55</v>
      </c>
      <c r="D391" s="13" t="n">
        <v>83.37</v>
      </c>
      <c r="E391" s="13">
        <f>IF(OR(C391="",D391=""),"",ABS(C391-D391))</f>
        <v/>
      </c>
      <c r="F391" s="11" t="inlineStr">
        <is>
          <t>CAR</t>
        </is>
      </c>
      <c r="G391" s="12" t="n">
        <v>-205</v>
      </c>
      <c r="H391" s="14">
        <f>IF(OR(F391="",G391="",AND(I391&lt;&gt;"W",I391&lt;&gt;"L")),"",IF(I391="W",IF(G391&gt;0,G391/100,1),IF(G391&lt;0,G391/100,-1)))</f>
        <v/>
      </c>
      <c r="I391" s="11" t="inlineStr">
        <is>
          <t>L</t>
        </is>
      </c>
      <c r="J391" s="10" t="inlineStr">
        <is>
          <t>TOR 5, CAR 1</t>
        </is>
      </c>
      <c r="K391" s="10" t="inlineStr">
        <is>
          <t>DraftKings closing</t>
        </is>
      </c>
    </row>
    <row r="392">
      <c r="A392" s="9" t="n">
        <v>45995</v>
      </c>
      <c r="B392" s="10" t="inlineStr">
        <is>
          <t>DET @ CBJ</t>
        </is>
      </c>
      <c r="C392" s="13" t="n">
        <v>75.83</v>
      </c>
      <c r="D392" s="13" t="n">
        <v>70.48999999999999</v>
      </c>
      <c r="E392" s="13">
        <f>IF(OR(C392="",D392=""),"",ABS(C392-D392))</f>
        <v/>
      </c>
      <c r="F392" s="11" t="inlineStr">
        <is>
          <t>DET</t>
        </is>
      </c>
      <c r="G392" s="12" t="n">
        <v>100</v>
      </c>
      <c r="H392" s="14">
        <f>IF(OR(F392="",G392="",AND(I392&lt;&gt;"W",I392&lt;&gt;"L")),"",IF(I392="W",IF(G392&gt;0,G392/100,1),IF(G392&lt;0,G392/100,-1)))</f>
        <v/>
      </c>
      <c r="I392" s="11" t="inlineStr">
        <is>
          <t>L</t>
        </is>
      </c>
      <c r="J392" s="10" t="inlineStr">
        <is>
          <t>DET 5, CBJ 6</t>
        </is>
      </c>
      <c r="K392" s="10" t="inlineStr">
        <is>
          <t>DraftKings closing</t>
        </is>
      </c>
    </row>
    <row r="393">
      <c r="A393" s="9" t="n">
        <v>45995</v>
      </c>
      <c r="B393" s="10" t="inlineStr">
        <is>
          <t>MIN @ CGY</t>
        </is>
      </c>
      <c r="C393" s="13" t="n">
        <v>67.86</v>
      </c>
      <c r="D393" s="13" t="n">
        <v>54.61</v>
      </c>
      <c r="E393" s="13">
        <f>IF(OR(C393="",D393=""),"",ABS(C393-D393))</f>
        <v/>
      </c>
      <c r="F393" s="11" t="inlineStr">
        <is>
          <t>MIN</t>
        </is>
      </c>
      <c r="G393" s="12" t="n">
        <v>-122</v>
      </c>
      <c r="H393" s="14">
        <f>IF(OR(F393="",G393="",AND(I393&lt;&gt;"W",I393&lt;&gt;"L")),"",IF(I393="W",IF(G393&gt;0,G393/100,1),IF(G393&lt;0,G393/100,-1)))</f>
        <v/>
      </c>
      <c r="I393" s="11" t="inlineStr">
        <is>
          <t>L</t>
        </is>
      </c>
      <c r="J393" s="10" t="inlineStr">
        <is>
          <t>MIN 1, CGY 4</t>
        </is>
      </c>
      <c r="K393" s="10" t="inlineStr">
        <is>
          <t>DraftKings closing</t>
        </is>
      </c>
    </row>
    <row r="394">
      <c r="A394" s="9" t="n">
        <v>45995</v>
      </c>
      <c r="B394" s="10" t="inlineStr">
        <is>
          <t>SEA @ EDM</t>
        </is>
      </c>
      <c r="C394" s="13" t="n">
        <v>53.75</v>
      </c>
      <c r="D394" s="13" t="n">
        <v>72.14</v>
      </c>
      <c r="E394" s="13">
        <f>IF(OR(C394="",D394=""),"",ABS(C394-D394))</f>
        <v/>
      </c>
      <c r="F394" s="11" t="inlineStr">
        <is>
          <t>EDM</t>
        </is>
      </c>
      <c r="G394" s="12" t="n">
        <v>-198</v>
      </c>
      <c r="H394" s="14">
        <f>IF(OR(F394="",G394="",AND(I394&lt;&gt;"W",I394&lt;&gt;"L")),"",IF(I394="W",IF(G394&gt;0,G394/100,1),IF(G394&lt;0,G394/100,-1)))</f>
        <v/>
      </c>
      <c r="I394" s="11" t="inlineStr">
        <is>
          <t>W</t>
        </is>
      </c>
      <c r="J394" s="10" t="inlineStr">
        <is>
          <t>SEA 4, EDM 9</t>
        </is>
      </c>
      <c r="K394" s="10" t="inlineStr">
        <is>
          <t>DraftKings closing</t>
        </is>
      </c>
    </row>
    <row r="395">
      <c r="A395" s="9" t="n">
        <v>45995</v>
      </c>
      <c r="B395" s="10" t="inlineStr">
        <is>
          <t>CHI @ LAK</t>
        </is>
      </c>
      <c r="C395" s="13" t="n">
        <v>70.90000000000001</v>
      </c>
      <c r="D395" s="13" t="n">
        <v>71.37</v>
      </c>
      <c r="E395" s="13">
        <f>IF(OR(C395="",D395=""),"",ABS(C395-D395))</f>
        <v/>
      </c>
      <c r="F395" s="11" t="inlineStr">
        <is>
          <t>LAK</t>
        </is>
      </c>
      <c r="G395" s="12" t="n">
        <v>-198</v>
      </c>
      <c r="H395" s="14">
        <f>IF(OR(F395="",G395="",AND(I395&lt;&gt;"W",I395&lt;&gt;"L")),"",IF(I395="W",IF(G395&gt;0,G395/100,1),IF(G395&lt;0,G395/100,-1)))</f>
        <v/>
      </c>
      <c r="I395" s="11" t="inlineStr">
        <is>
          <t>L</t>
        </is>
      </c>
      <c r="J395" s="10" t="inlineStr">
        <is>
          <t>CHI 2, LAK 1</t>
        </is>
      </c>
      <c r="K395" s="10" t="inlineStr">
        <is>
          <t>DraftKings closing</t>
        </is>
      </c>
    </row>
    <row r="396">
      <c r="A396" s="9" t="n">
        <v>45996</v>
      </c>
      <c r="B396" s="10" t="inlineStr">
        <is>
          <t>VGK @ NJD</t>
        </is>
      </c>
      <c r="C396" s="13" t="n">
        <v>69.09999999999999</v>
      </c>
      <c r="D396" s="13" t="n">
        <v>65.12</v>
      </c>
      <c r="E396" s="13">
        <f>IF(OR(C396="",D396=""),"",ABS(C396-D396))</f>
        <v/>
      </c>
      <c r="F396" s="11" t="inlineStr">
        <is>
          <t>VGK</t>
        </is>
      </c>
      <c r="G396" s="12" t="n">
        <v>-142</v>
      </c>
      <c r="H396" s="14">
        <f>IF(OR(F396="",G396="",AND(I396&lt;&gt;"W",I396&lt;&gt;"L")),"",IF(I396="W",IF(G396&gt;0,G396/100,1),IF(G396&lt;0,G396/100,-1)))</f>
        <v/>
      </c>
      <c r="I396" s="11" t="inlineStr">
        <is>
          <t>W</t>
        </is>
      </c>
      <c r="J396" s="10" t="inlineStr">
        <is>
          <t>VGK 3, NJD 0</t>
        </is>
      </c>
      <c r="K396" s="10" t="inlineStr">
        <is>
          <t>DraftKings closing</t>
        </is>
      </c>
    </row>
    <row r="397">
      <c r="A397" s="9" t="n">
        <v>45996</v>
      </c>
      <c r="B397" s="10" t="inlineStr">
        <is>
          <t>BUF @ WPG</t>
        </is>
      </c>
      <c r="C397" s="13" t="n">
        <v>58.34</v>
      </c>
      <c r="D397" s="13" t="n">
        <v>70.48</v>
      </c>
      <c r="E397" s="13">
        <f>IF(OR(C397="",D397=""),"",ABS(C397-D397))</f>
        <v/>
      </c>
      <c r="F397" s="11" t="inlineStr">
        <is>
          <t>WPG</t>
        </is>
      </c>
      <c r="G397" s="12" t="n">
        <v>-125</v>
      </c>
      <c r="H397" s="14">
        <f>IF(OR(F397="",G397="",AND(I397&lt;&gt;"W",I397&lt;&gt;"L")),"",IF(I397="W",IF(G397&gt;0,G397/100,1),IF(G397&lt;0,G397/100,-1)))</f>
        <v/>
      </c>
      <c r="I397" s="11" t="inlineStr">
        <is>
          <t>W</t>
        </is>
      </c>
      <c r="J397" s="10" t="inlineStr">
        <is>
          <t>BUF 1, WPG 4</t>
        </is>
      </c>
      <c r="K397" s="10" t="inlineStr">
        <is>
          <t>DraftKings closing</t>
        </is>
      </c>
    </row>
    <row r="398">
      <c r="A398" s="9" t="n">
        <v>45996</v>
      </c>
      <c r="B398" s="10" t="inlineStr">
        <is>
          <t>SJS @ DAL</t>
        </is>
      </c>
      <c r="C398" s="13" t="n">
        <v>50.07</v>
      </c>
      <c r="D398" s="13" t="n">
        <v>74.88</v>
      </c>
      <c r="E398" s="13">
        <f>IF(OR(C398="",D398=""),"",ABS(C398-D398))</f>
        <v/>
      </c>
      <c r="F398" s="11" t="inlineStr">
        <is>
          <t>DAL</t>
        </is>
      </c>
      <c r="G398" s="12" t="n">
        <v>-278</v>
      </c>
      <c r="H398" s="14">
        <f>IF(OR(F398="",G398="",AND(I398&lt;&gt;"W",I398&lt;&gt;"L")),"",IF(I398="W",IF(G398&gt;0,G398/100,1),IF(G398&lt;0,G398/100,-1)))</f>
        <v/>
      </c>
      <c r="I398" s="11" t="inlineStr">
        <is>
          <t>W</t>
        </is>
      </c>
      <c r="J398" s="10" t="inlineStr">
        <is>
          <t>SJS 1, DAL 4</t>
        </is>
      </c>
      <c r="K398" s="10" t="inlineStr">
        <is>
          <t>DraftKings closing</t>
        </is>
      </c>
    </row>
    <row r="399">
      <c r="A399" s="9" t="n">
        <v>45996</v>
      </c>
      <c r="B399" s="10" t="inlineStr">
        <is>
          <t>UTA @ VAN</t>
        </is>
      </c>
      <c r="C399" s="13" t="n">
        <v>97.95</v>
      </c>
      <c r="D399" s="13" t="n">
        <v>60.16</v>
      </c>
      <c r="E399" s="13">
        <f>IF(OR(C399="",D399=""),"",ABS(C399-D399))</f>
        <v/>
      </c>
      <c r="F399" s="11" t="inlineStr">
        <is>
          <t>UTA</t>
        </is>
      </c>
      <c r="G399" s="12" t="n">
        <v>-135</v>
      </c>
      <c r="H399" s="14">
        <f>IF(OR(F399="",G399="",AND(I399&lt;&gt;"W",I399&lt;&gt;"L")),"",IF(I399="W",IF(G399&gt;0,G399/100,1),IF(G399&lt;0,G399/100,-1)))</f>
        <v/>
      </c>
      <c r="I399" s="11" t="inlineStr">
        <is>
          <t>W</t>
        </is>
      </c>
      <c r="J399" s="10" t="inlineStr">
        <is>
          <t>UTA 4, VAN 1</t>
        </is>
      </c>
      <c r="K399" s="10" t="inlineStr">
        <is>
          <t>DraftKings closing</t>
        </is>
      </c>
    </row>
    <row r="400">
      <c r="A400" s="9" t="n">
        <v>45996</v>
      </c>
      <c r="B400" s="10" t="inlineStr">
        <is>
          <t>WSH @ ANA</t>
        </is>
      </c>
      <c r="C400" s="13" t="n">
        <v>89.93000000000001</v>
      </c>
      <c r="D400" s="13" t="n">
        <v>42.05</v>
      </c>
      <c r="E400" s="13">
        <f>IF(OR(C400="",D400=""),"",ABS(C400-D400))</f>
        <v/>
      </c>
      <c r="F400" s="11" t="inlineStr">
        <is>
          <t>WSH</t>
        </is>
      </c>
      <c r="G400" s="12" t="n">
        <v>-135</v>
      </c>
      <c r="H400" s="14">
        <f>IF(OR(F400="",G400="",AND(I400&lt;&gt;"W",I400&lt;&gt;"L")),"",IF(I400="W",IF(G400&gt;0,G400/100,1),IF(G400&lt;0,G400/100,-1)))</f>
        <v/>
      </c>
      <c r="I400" s="11" t="inlineStr">
        <is>
          <t>L</t>
        </is>
      </c>
      <c r="J400" s="10" t="inlineStr">
        <is>
          <t>WSH 3, ANA 4</t>
        </is>
      </c>
      <c r="K400" s="10" t="inlineStr">
        <is>
          <t>DraftKings closing</t>
        </is>
      </c>
    </row>
    <row r="401">
      <c r="A401" s="9" t="n">
        <v>45997</v>
      </c>
      <c r="B401" s="10" t="inlineStr">
        <is>
          <t>COL @ NYR</t>
        </is>
      </c>
      <c r="C401" s="13" t="n">
        <v>64.90000000000001</v>
      </c>
      <c r="D401" s="13" t="n">
        <v>75.86</v>
      </c>
      <c r="E401" s="13">
        <f>IF(OR(C401="",D401=""),"",ABS(C401-D401))</f>
        <v/>
      </c>
      <c r="F401" s="11" t="inlineStr">
        <is>
          <t>NYR</t>
        </is>
      </c>
      <c r="G401" s="12" t="n">
        <v>145</v>
      </c>
      <c r="H401" s="14">
        <f>IF(OR(F401="",G401="",AND(I401&lt;&gt;"W",I401&lt;&gt;"L")),"",IF(I401="W",IF(G401&gt;0,G401/100,1),IF(G401&lt;0,G401/100,-1)))</f>
        <v/>
      </c>
      <c r="I401" s="11" t="inlineStr">
        <is>
          <t>L</t>
        </is>
      </c>
      <c r="J401" s="10" t="inlineStr">
        <is>
          <t>COL 3, NYR 2</t>
        </is>
      </c>
      <c r="K401" s="10" t="inlineStr">
        <is>
          <t>DraftKings closing</t>
        </is>
      </c>
    </row>
    <row r="402">
      <c r="A402" s="9" t="n">
        <v>45997</v>
      </c>
      <c r="B402" s="10" t="inlineStr">
        <is>
          <t>CBJ @ FLA</t>
        </is>
      </c>
      <c r="C402" s="13" t="n">
        <v>73.11</v>
      </c>
      <c r="D402" s="13" t="n">
        <v>65.34</v>
      </c>
      <c r="E402" s="13">
        <f>IF(OR(C402="",D402=""),"",ABS(C402-D402))</f>
        <v/>
      </c>
      <c r="F402" s="11" t="inlineStr">
        <is>
          <t>CBJ</t>
        </is>
      </c>
      <c r="G402" s="12" t="n">
        <v>136</v>
      </c>
      <c r="H402" s="14">
        <f>IF(OR(F402="",G402="",AND(I402&lt;&gt;"W",I402&lt;&gt;"L")),"",IF(I402="W",IF(G402&gt;0,G402/100,1),IF(G402&lt;0,G402/100,-1)))</f>
        <v/>
      </c>
      <c r="I402" s="11" t="inlineStr">
        <is>
          <t>L</t>
        </is>
      </c>
      <c r="J402" s="10" t="inlineStr">
        <is>
          <t>CBJ 6, FLA 7</t>
        </is>
      </c>
      <c r="K402" s="10" t="inlineStr">
        <is>
          <t>DraftKings closing</t>
        </is>
      </c>
    </row>
    <row r="403">
      <c r="A403" s="9" t="n">
        <v>45997</v>
      </c>
      <c r="B403" s="10" t="inlineStr">
        <is>
          <t>NJD @ BOS</t>
        </is>
      </c>
      <c r="C403" s="13" t="n">
        <v>62.08</v>
      </c>
      <c r="D403" s="13" t="n">
        <v>70.91</v>
      </c>
      <c r="E403" s="13">
        <f>IF(OR(C403="",D403=""),"",ABS(C403-D403))</f>
        <v/>
      </c>
      <c r="F403" s="11" t="inlineStr">
        <is>
          <t>BOS</t>
        </is>
      </c>
      <c r="G403" s="12" t="n">
        <v>100</v>
      </c>
      <c r="H403" s="14">
        <f>IF(OR(F403="",G403="",AND(I403&lt;&gt;"W",I403&lt;&gt;"L")),"",IF(I403="W",IF(G403&gt;0,G403/100,1),IF(G403&lt;0,G403/100,-1)))</f>
        <v/>
      </c>
      <c r="I403" s="11" t="inlineStr">
        <is>
          <t>W</t>
        </is>
      </c>
      <c r="J403" s="10" t="inlineStr">
        <is>
          <t>NJD 1, BOS 4</t>
        </is>
      </c>
      <c r="K403" s="10" t="inlineStr">
        <is>
          <t>DraftKings closing</t>
        </is>
      </c>
    </row>
    <row r="404">
      <c r="A404" s="9" t="n">
        <v>45997</v>
      </c>
      <c r="B404" s="10" t="inlineStr">
        <is>
          <t>MTL @ TOR</t>
        </is>
      </c>
      <c r="C404" s="13" t="n">
        <v>69.52</v>
      </c>
      <c r="D404" s="13" t="n">
        <v>69.76000000000001</v>
      </c>
      <c r="E404" s="13">
        <f>IF(OR(C404="",D404=""),"",ABS(C404-D404))</f>
        <v/>
      </c>
      <c r="F404" s="11" t="inlineStr">
        <is>
          <t>TOR</t>
        </is>
      </c>
      <c r="G404" s="12" t="n">
        <v>-142</v>
      </c>
      <c r="H404" s="14">
        <f>IF(OR(F404="",G404="",AND(I404&lt;&gt;"W",I404&lt;&gt;"L")),"",IF(I404="W",IF(G404&gt;0,G404/100,1),IF(G404&lt;0,G404/100,-1)))</f>
        <v/>
      </c>
      <c r="I404" s="11" t="inlineStr">
        <is>
          <t>L</t>
        </is>
      </c>
      <c r="J404" s="10" t="inlineStr">
        <is>
          <t>MTL 2, TOR 1</t>
        </is>
      </c>
      <c r="K404" s="10" t="inlineStr">
        <is>
          <t>DraftKings closing</t>
        </is>
      </c>
    </row>
    <row r="405">
      <c r="A405" s="9" t="n">
        <v>45997</v>
      </c>
      <c r="B405" s="10" t="inlineStr">
        <is>
          <t>STL @ OTT</t>
        </is>
      </c>
      <c r="C405" s="13" t="n">
        <v>69.09</v>
      </c>
      <c r="D405" s="13" t="n">
        <v>64.14</v>
      </c>
      <c r="E405" s="13">
        <f>IF(OR(C405="",D405=""),"",ABS(C405-D405))</f>
        <v/>
      </c>
      <c r="F405" s="11" t="inlineStr">
        <is>
          <t>STL</t>
        </is>
      </c>
      <c r="G405" s="12" t="n">
        <v>130</v>
      </c>
      <c r="H405" s="14">
        <f>IF(OR(F405="",G405="",AND(I405&lt;&gt;"W",I405&lt;&gt;"L")),"",IF(I405="W",IF(G405&gt;0,G405/100,1),IF(G405&lt;0,G405/100,-1)))</f>
        <v/>
      </c>
      <c r="I405" s="11" t="inlineStr">
        <is>
          <t>W</t>
        </is>
      </c>
      <c r="J405" s="10" t="inlineStr">
        <is>
          <t>STL 2, OTT 1</t>
        </is>
      </c>
      <c r="K405" s="10" t="inlineStr">
        <is>
          <t>DraftKings closing</t>
        </is>
      </c>
    </row>
    <row r="406">
      <c r="A406" s="9" t="n">
        <v>45997</v>
      </c>
      <c r="B406" s="10" t="inlineStr">
        <is>
          <t>NYI @ TBL</t>
        </is>
      </c>
      <c r="C406" s="13" t="n">
        <v>75.09999999999999</v>
      </c>
      <c r="D406" s="13" t="n">
        <v>66.98999999999999</v>
      </c>
      <c r="E406" s="13">
        <f>IF(OR(C406="",D406=""),"",ABS(C406-D406))</f>
        <v/>
      </c>
      <c r="F406" s="11" t="inlineStr">
        <is>
          <t>NYI</t>
        </is>
      </c>
      <c r="G406" s="12" t="n">
        <v>120</v>
      </c>
      <c r="H406" s="14">
        <f>IF(OR(F406="",G406="",AND(I406&lt;&gt;"W",I406&lt;&gt;"L")),"",IF(I406="W",IF(G406&gt;0,G406/100,1),IF(G406&lt;0,G406/100,-1)))</f>
        <v/>
      </c>
      <c r="I406" s="11" t="inlineStr">
        <is>
          <t>W</t>
        </is>
      </c>
      <c r="J406" s="10" t="inlineStr">
        <is>
          <t>NYI 2, TBL 0</t>
        </is>
      </c>
      <c r="K406" s="10" t="inlineStr">
        <is>
          <t>DraftKings closing</t>
        </is>
      </c>
    </row>
    <row r="407">
      <c r="A407" s="9" t="n">
        <v>45997</v>
      </c>
      <c r="B407" s="10" t="inlineStr">
        <is>
          <t>NSH @ CAR</t>
        </is>
      </c>
      <c r="C407" s="13" t="n">
        <v>74.66</v>
      </c>
      <c r="D407" s="13" t="n">
        <v>70.23999999999999</v>
      </c>
      <c r="E407" s="13">
        <f>IF(OR(C407="",D407=""),"",ABS(C407-D407))</f>
        <v/>
      </c>
      <c r="F407" s="11" t="inlineStr">
        <is>
          <t>NSH</t>
        </is>
      </c>
      <c r="G407" s="12" t="n">
        <v>185</v>
      </c>
      <c r="H407" s="14">
        <f>IF(OR(F407="",G407="",AND(I407&lt;&gt;"W",I407&lt;&gt;"L")),"",IF(I407="W",IF(G407&gt;0,G407/100,1),IF(G407&lt;0,G407/100,-1)))</f>
        <v/>
      </c>
      <c r="I407" s="11" t="inlineStr">
        <is>
          <t>L</t>
        </is>
      </c>
      <c r="J407" s="10" t="inlineStr">
        <is>
          <t>NSH 3, CAR 6</t>
        </is>
      </c>
      <c r="K407" s="10" t="inlineStr">
        <is>
          <t>DraftKings closing</t>
        </is>
      </c>
    </row>
    <row r="408">
      <c r="A408" s="9" t="n">
        <v>45997</v>
      </c>
      <c r="B408" s="10" t="inlineStr">
        <is>
          <t>UTA @ CGY</t>
        </is>
      </c>
      <c r="C408" s="13" t="n">
        <v>68.23</v>
      </c>
      <c r="D408" s="13" t="n">
        <v>82.16</v>
      </c>
      <c r="E408" s="13">
        <f>IF(OR(C408="",D408=""),"",ABS(C408-D408))</f>
        <v/>
      </c>
      <c r="F408" s="11" t="inlineStr">
        <is>
          <t>CGY</t>
        </is>
      </c>
      <c r="G408" s="12" t="n">
        <v>-135</v>
      </c>
      <c r="H408" s="14">
        <f>IF(OR(F408="",G408="",AND(I408&lt;&gt;"W",I408&lt;&gt;"L")),"",IF(I408="W",IF(G408&gt;0,G408/100,1),IF(G408&lt;0,G408/100,-1)))</f>
        <v/>
      </c>
      <c r="I408" s="11" t="inlineStr">
        <is>
          <t>W</t>
        </is>
      </c>
      <c r="J408" s="10" t="inlineStr">
        <is>
          <t>UTA 0, CGY 2</t>
        </is>
      </c>
      <c r="K408" s="10" t="inlineStr">
        <is>
          <t>DraftKings closing</t>
        </is>
      </c>
    </row>
    <row r="409">
      <c r="A409" s="9" t="n">
        <v>45997</v>
      </c>
      <c r="B409" s="10" t="inlineStr">
        <is>
          <t>CHI @ LAK</t>
        </is>
      </c>
      <c r="C409" s="13" t="n">
        <v>77.95</v>
      </c>
      <c r="D409" s="13" t="n">
        <v>62.05</v>
      </c>
      <c r="E409" s="13">
        <f>IF(OR(C409="",D409=""),"",ABS(C409-D409))</f>
        <v/>
      </c>
      <c r="F409" s="11" t="inlineStr">
        <is>
          <t>CHI</t>
        </is>
      </c>
      <c r="G409" s="12" t="n">
        <v>164</v>
      </c>
      <c r="H409" s="14">
        <f>IF(OR(F409="",G409="",AND(I409&lt;&gt;"W",I409&lt;&gt;"L")),"",IF(I409="W",IF(G409&gt;0,G409/100,1),IF(G409&lt;0,G409/100,-1)))</f>
        <v/>
      </c>
      <c r="I409" s="11" t="inlineStr">
        <is>
          <t>L</t>
        </is>
      </c>
      <c r="J409" s="10" t="inlineStr">
        <is>
          <t>CHI 0, LAK 6</t>
        </is>
      </c>
      <c r="K409" s="10" t="inlineStr">
        <is>
          <t>DraftKings closing</t>
        </is>
      </c>
    </row>
    <row r="410">
      <c r="A410" s="9" t="n">
        <v>45997</v>
      </c>
      <c r="B410" s="10" t="inlineStr">
        <is>
          <t>WPG @ EDM</t>
        </is>
      </c>
      <c r="C410" s="13" t="n">
        <v>68.5</v>
      </c>
      <c r="D410" s="13" t="n">
        <v>79.67</v>
      </c>
      <c r="E410" s="13">
        <f>IF(OR(C410="",D410=""),"",ABS(C410-D410))</f>
        <v/>
      </c>
      <c r="F410" s="11" t="inlineStr">
        <is>
          <t>EDM</t>
        </is>
      </c>
      <c r="G410" s="12" t="n">
        <v>-192</v>
      </c>
      <c r="H410" s="14">
        <f>IF(OR(F410="",G410="",AND(I410&lt;&gt;"W",I410&lt;&gt;"L")),"",IF(I410="W",IF(G410&gt;0,G410/100,1),IF(G410&lt;0,G410/100,-1)))</f>
        <v/>
      </c>
      <c r="I410" s="11" t="inlineStr">
        <is>
          <t>W</t>
        </is>
      </c>
      <c r="J410" s="10" t="inlineStr">
        <is>
          <t>WPG 2, EDM 6</t>
        </is>
      </c>
      <c r="K410" s="10" t="inlineStr">
        <is>
          <t>DraftKings closing</t>
        </is>
      </c>
    </row>
    <row r="411">
      <c r="A411" s="9" t="n">
        <v>45997</v>
      </c>
      <c r="B411" s="10" t="inlineStr">
        <is>
          <t>MIN @ VAN</t>
        </is>
      </c>
      <c r="C411" s="13" t="n">
        <v>57.84</v>
      </c>
      <c r="D411" s="13" t="n">
        <v>71.77</v>
      </c>
      <c r="E411" s="13">
        <f>IF(OR(C411="",D411=""),"",ABS(C411-D411))</f>
        <v/>
      </c>
      <c r="F411" s="11" t="inlineStr">
        <is>
          <t>VAN</t>
        </is>
      </c>
      <c r="G411" s="12" t="n">
        <v>136</v>
      </c>
      <c r="H411" s="14">
        <f>IF(OR(F411="",G411="",AND(I411&lt;&gt;"W",I411&lt;&gt;"L")),"",IF(I411="W",IF(G411&gt;0,G411/100,1),IF(G411&lt;0,G411/100,-1)))</f>
        <v/>
      </c>
      <c r="I411" s="11" t="inlineStr">
        <is>
          <t>W</t>
        </is>
      </c>
      <c r="J411" s="10" t="inlineStr">
        <is>
          <t>MIN 2, VAN 4</t>
        </is>
      </c>
      <c r="K411" s="10" t="inlineStr">
        <is>
          <t>DraftKings closing</t>
        </is>
      </c>
    </row>
    <row r="412">
      <c r="A412" s="9" t="n">
        <v>45997</v>
      </c>
      <c r="B412" s="10" t="inlineStr">
        <is>
          <t>DET @ SEA</t>
        </is>
      </c>
      <c r="C412" s="13" t="n">
        <v>66.89</v>
      </c>
      <c r="D412" s="13" t="n">
        <v>60.33</v>
      </c>
      <c r="E412" s="13">
        <f>IF(OR(C412="",D412=""),"",ABS(C412-D412))</f>
        <v/>
      </c>
      <c r="F412" s="11" t="inlineStr">
        <is>
          <t>DET</t>
        </is>
      </c>
      <c r="G412" s="12" t="n">
        <v>-120</v>
      </c>
      <c r="H412" s="14">
        <f>IF(OR(F412="",G412="",AND(I412&lt;&gt;"W",I412&lt;&gt;"L")),"",IF(I412="W",IF(G412&gt;0,G412/100,1),IF(G412&lt;0,G412/100,-1)))</f>
        <v/>
      </c>
      <c r="I412" s="11" t="inlineStr">
        <is>
          <t>W</t>
        </is>
      </c>
      <c r="J412" s="10" t="inlineStr">
        <is>
          <t>DET 4, SEA 3</t>
        </is>
      </c>
      <c r="K412" s="10" t="inlineStr">
        <is>
          <t>DraftKings closing</t>
        </is>
      </c>
    </row>
    <row r="413">
      <c r="A413" s="9" t="n">
        <v>45998</v>
      </c>
      <c r="B413" s="10" t="inlineStr">
        <is>
          <t>COL @ PHI</t>
        </is>
      </c>
      <c r="C413" s="13" t="n">
        <v>81.95999999999999</v>
      </c>
      <c r="D413" s="13" t="n">
        <v>81.66</v>
      </c>
      <c r="E413" s="13">
        <f>IF(OR(C413="",D413=""),"",ABS(C413-D413))</f>
        <v/>
      </c>
      <c r="F413" s="11" t="inlineStr">
        <is>
          <t>COL</t>
        </is>
      </c>
      <c r="G413" s="12" t="n">
        <v>-162</v>
      </c>
      <c r="H413" s="14">
        <f>IF(OR(F413="",G413="",AND(I413&lt;&gt;"W",I413&lt;&gt;"L")),"",IF(I413="W",IF(G413&gt;0,G413/100,1),IF(G413&lt;0,G413/100,-1)))</f>
        <v/>
      </c>
      <c r="I413" s="11" t="inlineStr">
        <is>
          <t>W</t>
        </is>
      </c>
      <c r="J413" s="10" t="inlineStr">
        <is>
          <t>COL 3, PHI 2</t>
        </is>
      </c>
      <c r="K413" s="10" t="inlineStr">
        <is>
          <t>DraftKings closing</t>
        </is>
      </c>
    </row>
    <row r="414">
      <c r="A414" s="9" t="n">
        <v>45998</v>
      </c>
      <c r="B414" s="10" t="inlineStr">
        <is>
          <t>NYI @ FLA</t>
        </is>
      </c>
      <c r="C414" s="13" t="n">
        <v>63.63</v>
      </c>
      <c r="D414" s="13" t="n">
        <v>77.20999999999999</v>
      </c>
      <c r="E414" s="13">
        <f>IF(OR(C414="",D414=""),"",ABS(C414-D414))</f>
        <v/>
      </c>
      <c r="F414" s="11" t="inlineStr">
        <is>
          <t>FLA</t>
        </is>
      </c>
      <c r="G414" s="12" t="n">
        <v>-162</v>
      </c>
      <c r="H414" s="14">
        <f>IF(OR(F414="",G414="",AND(I414&lt;&gt;"W",I414&lt;&gt;"L")),"",IF(I414="W",IF(G414&gt;0,G414/100,1),IF(G414&lt;0,G414/100,-1)))</f>
        <v/>
      </c>
      <c r="I414" s="11" t="inlineStr">
        <is>
          <t>W</t>
        </is>
      </c>
      <c r="J414" s="10" t="inlineStr">
        <is>
          <t>NYI 1, FLA 4</t>
        </is>
      </c>
      <c r="K414" s="10" t="inlineStr">
        <is>
          <t>DraftKings closing</t>
        </is>
      </c>
    </row>
    <row r="415">
      <c r="A415" s="9" t="n">
        <v>45998</v>
      </c>
      <c r="B415" s="10" t="inlineStr">
        <is>
          <t>SJS @ CAR</t>
        </is>
      </c>
      <c r="C415" s="13" t="n">
        <v>59.15</v>
      </c>
      <c r="D415" s="13" t="n">
        <v>89.19</v>
      </c>
      <c r="E415" s="13">
        <f>IF(OR(C415="",D415=""),"",ABS(C415-D415))</f>
        <v/>
      </c>
      <c r="F415" s="11" t="inlineStr">
        <is>
          <t>CAR</t>
        </is>
      </c>
      <c r="G415" s="12" t="n">
        <v>-340</v>
      </c>
      <c r="H415" s="14">
        <f>IF(OR(F415="",G415="",AND(I415&lt;&gt;"W",I415&lt;&gt;"L")),"",IF(I415="W",IF(G415&gt;0,G415/100,1),IF(G415&lt;0,G415/100,-1)))</f>
        <v/>
      </c>
      <c r="I415" s="11" t="inlineStr">
        <is>
          <t>L</t>
        </is>
      </c>
      <c r="J415" s="10" t="inlineStr">
        <is>
          <t>SJS 4, CAR 1</t>
        </is>
      </c>
      <c r="K415" s="10" t="inlineStr">
        <is>
          <t>DraftKings closing</t>
        </is>
      </c>
    </row>
    <row r="416">
      <c r="A416" s="9" t="n">
        <v>45998</v>
      </c>
      <c r="B416" s="10" t="inlineStr">
        <is>
          <t>PIT @ DAL</t>
        </is>
      </c>
      <c r="C416" s="13" t="n">
        <v>73.01000000000001</v>
      </c>
      <c r="D416" s="13" t="n">
        <v>80.84999999999999</v>
      </c>
      <c r="E416" s="13">
        <f>IF(OR(C416="",D416=""),"",ABS(C416-D416))</f>
        <v/>
      </c>
      <c r="F416" s="11" t="inlineStr">
        <is>
          <t>DAL</t>
        </is>
      </c>
      <c r="G416" s="12" t="n">
        <v>-180</v>
      </c>
      <c r="H416" s="14">
        <f>IF(OR(F416="",G416="",AND(I416&lt;&gt;"W",I416&lt;&gt;"L")),"",IF(I416="W",IF(G416&gt;0,G416/100,1),IF(G416&lt;0,G416/100,-1)))</f>
        <v/>
      </c>
      <c r="I416" s="11" t="inlineStr">
        <is>
          <t>W</t>
        </is>
      </c>
      <c r="J416" s="10" t="inlineStr">
        <is>
          <t>PIT 2, DAL 3</t>
        </is>
      </c>
      <c r="K416" s="10" t="inlineStr">
        <is>
          <t>DraftKings closing</t>
        </is>
      </c>
    </row>
    <row r="417">
      <c r="A417" s="9" t="n">
        <v>45998</v>
      </c>
      <c r="B417" s="10" t="inlineStr">
        <is>
          <t>STL @ MTL</t>
        </is>
      </c>
      <c r="C417" s="13" t="n">
        <v>66.36</v>
      </c>
      <c r="D417" s="13" t="n">
        <v>75.06</v>
      </c>
      <c r="E417" s="13">
        <f>IF(OR(C417="",D417=""),"",ABS(C417-D417))</f>
        <v/>
      </c>
      <c r="F417" s="11" t="inlineStr">
        <is>
          <t>MTL</t>
        </is>
      </c>
      <c r="G417" s="12" t="n">
        <v>-130</v>
      </c>
      <c r="H417" s="14">
        <f>IF(OR(F417="",G417="",AND(I417&lt;&gt;"W",I417&lt;&gt;"L")),"",IF(I417="W",IF(G417&gt;0,G417/100,1),IF(G417&lt;0,G417/100,-1)))</f>
        <v/>
      </c>
      <c r="I417" s="11" t="inlineStr">
        <is>
          <t>L</t>
        </is>
      </c>
      <c r="J417" s="10" t="inlineStr">
        <is>
          <t>STL 4, MTL 3</t>
        </is>
      </c>
      <c r="K417" s="10" t="inlineStr">
        <is>
          <t>DraftKings closing</t>
        </is>
      </c>
    </row>
    <row r="418">
      <c r="A418" s="9" t="n">
        <v>45998</v>
      </c>
      <c r="B418" s="10" t="inlineStr">
        <is>
          <t>VGK @ NYR</t>
        </is>
      </c>
      <c r="C418" s="13" t="n">
        <v>77.92</v>
      </c>
      <c r="D418" s="13" t="n">
        <v>58.04</v>
      </c>
      <c r="E418" s="13">
        <f>IF(OR(C418="",D418=""),"",ABS(C418-D418))</f>
        <v/>
      </c>
      <c r="F418" s="11" t="inlineStr">
        <is>
          <t>VGK</t>
        </is>
      </c>
      <c r="G418" s="12" t="n">
        <v>-175</v>
      </c>
      <c r="H418" s="14">
        <f>IF(OR(F418="",G418="",AND(I418&lt;&gt;"W",I418&lt;&gt;"L")),"",IF(I418="W",IF(G418&gt;0,G418/100,1),IF(G418&lt;0,G418/100,-1)))</f>
        <v/>
      </c>
      <c r="I418" s="11" t="inlineStr">
        <is>
          <t>W</t>
        </is>
      </c>
      <c r="J418" s="10" t="inlineStr">
        <is>
          <t>VGK 3, NYR 2</t>
        </is>
      </c>
      <c r="K418" s="10" t="inlineStr">
        <is>
          <t>DraftKings closing</t>
        </is>
      </c>
    </row>
    <row r="419">
      <c r="A419" s="9" t="n">
        <v>45998</v>
      </c>
      <c r="B419" s="10" t="inlineStr">
        <is>
          <t>CBJ @ WSH</t>
        </is>
      </c>
      <c r="C419" s="13" t="n">
        <v>62.79</v>
      </c>
      <c r="D419" s="13" t="n">
        <v>66.56</v>
      </c>
      <c r="E419" s="13">
        <f>IF(OR(C419="",D419=""),"",ABS(C419-D419))</f>
        <v/>
      </c>
      <c r="F419" s="11" t="inlineStr">
        <is>
          <t>WSH</t>
        </is>
      </c>
      <c r="G419" s="12" t="n">
        <v>-180</v>
      </c>
      <c r="H419" s="14">
        <f>IF(OR(F419="",G419="",AND(I419&lt;&gt;"W",I419&lt;&gt;"L")),"",IF(I419="W",IF(G419&gt;0,G419/100,1),IF(G419&lt;0,G419/100,-1)))</f>
        <v/>
      </c>
      <c r="I419" s="11" t="inlineStr">
        <is>
          <t>W</t>
        </is>
      </c>
      <c r="J419" s="10" t="inlineStr">
        <is>
          <t>CBJ 0, WSH 2</t>
        </is>
      </c>
      <c r="K419" s="10" t="inlineStr">
        <is>
          <t>DraftKings closing</t>
        </is>
      </c>
    </row>
    <row r="420">
      <c r="A420" s="9" t="n">
        <v>45998</v>
      </c>
      <c r="B420" s="10" t="inlineStr">
        <is>
          <t>CHI @ ANA</t>
        </is>
      </c>
      <c r="C420" s="13" t="n">
        <v>43.91</v>
      </c>
      <c r="D420" s="13" t="n">
        <v>73.44</v>
      </c>
      <c r="E420" s="13">
        <f>IF(OR(C420="",D420=""),"",ABS(C420-D420))</f>
        <v/>
      </c>
      <c r="F420" s="11" t="inlineStr">
        <is>
          <t>ANA</t>
        </is>
      </c>
      <c r="G420" s="12" t="n">
        <v>-198</v>
      </c>
      <c r="H420" s="14">
        <f>IF(OR(F420="",G420="",AND(I420&lt;&gt;"W",I420&lt;&gt;"L")),"",IF(I420="W",IF(G420&gt;0,G420/100,1),IF(G420&lt;0,G420/100,-1)))</f>
        <v/>
      </c>
      <c r="I420" s="11" t="inlineStr">
        <is>
          <t>W</t>
        </is>
      </c>
      <c r="J420" s="10" t="inlineStr">
        <is>
          <t>CHI 1, ANA 7</t>
        </is>
      </c>
      <c r="K420" s="10" t="inlineStr">
        <is>
          <t>DraftKings closing</t>
        </is>
      </c>
    </row>
    <row r="421">
      <c r="A421" s="9" t="n">
        <v>45999</v>
      </c>
      <c r="B421" s="10" t="inlineStr">
        <is>
          <t>TBL @ TOR</t>
        </is>
      </c>
      <c r="C421" s="13" t="n">
        <v>76.37</v>
      </c>
      <c r="D421" s="13" t="n">
        <v>64.94</v>
      </c>
      <c r="E421" s="13">
        <f>IF(OR(C421="",D421=""),"",ABS(C421-D421))</f>
        <v/>
      </c>
      <c r="F421" s="11" t="inlineStr">
        <is>
          <t>TBL</t>
        </is>
      </c>
      <c r="G421" s="12" t="n">
        <v>-130</v>
      </c>
      <c r="H421" s="14">
        <f>IF(OR(F421="",G421="",AND(I421&lt;&gt;"W",I421&lt;&gt;"L")),"",IF(I421="W",IF(G421&gt;0,G421/100,1),IF(G421&lt;0,G421/100,-1)))</f>
        <v/>
      </c>
      <c r="I421" s="11" t="inlineStr">
        <is>
          <t>L</t>
        </is>
      </c>
      <c r="J421" s="10" t="inlineStr">
        <is>
          <t>TBL 0, TOR 2</t>
        </is>
      </c>
      <c r="K421" s="10" t="inlineStr">
        <is>
          <t>DraftKings closing</t>
        </is>
      </c>
    </row>
    <row r="422">
      <c r="A422" s="9" t="n">
        <v>45999</v>
      </c>
      <c r="B422" s="10" t="inlineStr">
        <is>
          <t>LAK @ UTA</t>
        </is>
      </c>
      <c r="C422" s="13" t="n">
        <v>96.09</v>
      </c>
      <c r="D422" s="13" t="n">
        <v>69.98</v>
      </c>
      <c r="E422" s="13">
        <f>IF(OR(C422="",D422=""),"",ABS(C422-D422))</f>
        <v/>
      </c>
      <c r="F422" s="11" t="inlineStr">
        <is>
          <t>LAK</t>
        </is>
      </c>
      <c r="G422" s="12" t="n">
        <v>-112</v>
      </c>
      <c r="H422" s="14">
        <f>IF(OR(F422="",G422="",AND(I422&lt;&gt;"W",I422&lt;&gt;"L")),"",IF(I422="W",IF(G422&gt;0,G422/100,1),IF(G422&lt;0,G422/100,-1)))</f>
        <v/>
      </c>
      <c r="I422" s="11" t="inlineStr">
        <is>
          <t>W</t>
        </is>
      </c>
      <c r="J422" s="10" t="inlineStr">
        <is>
          <t>LAK 4, UTA 2</t>
        </is>
      </c>
      <c r="K422" s="10" t="inlineStr">
        <is>
          <t>DraftKings closing</t>
        </is>
      </c>
    </row>
    <row r="423">
      <c r="A423" s="9" t="n">
        <v>45999</v>
      </c>
      <c r="B423" s="10" t="inlineStr">
        <is>
          <t>BUF @ CGY</t>
        </is>
      </c>
      <c r="C423" s="13" t="n">
        <v>71.5</v>
      </c>
      <c r="D423" s="13" t="n">
        <v>70.02</v>
      </c>
      <c r="E423" s="13">
        <f>IF(OR(C423="",D423=""),"",ABS(C423-D423))</f>
        <v/>
      </c>
      <c r="F423" s="11" t="inlineStr">
        <is>
          <t>BUF</t>
        </is>
      </c>
      <c r="G423" s="12" t="n">
        <v>-110</v>
      </c>
      <c r="H423" s="14">
        <f>IF(OR(F423="",G423="",AND(I423&lt;&gt;"W",I423&lt;&gt;"L")),"",IF(I423="W",IF(G423&gt;0,G423/100,1),IF(G423&lt;0,G423/100,-1)))</f>
        <v/>
      </c>
      <c r="I423" s="11" t="inlineStr">
        <is>
          <t>L</t>
        </is>
      </c>
      <c r="J423" s="10" t="inlineStr">
        <is>
          <t>BUF 4, CGY 7</t>
        </is>
      </c>
      <c r="K423" s="10" t="inlineStr">
        <is>
          <t>DraftKings closing</t>
        </is>
      </c>
    </row>
    <row r="424">
      <c r="A424" s="9" t="n">
        <v>45999</v>
      </c>
      <c r="B424" s="10" t="inlineStr">
        <is>
          <t>DET @ VAN</t>
        </is>
      </c>
      <c r="C424" s="13" t="n">
        <v>68.48999999999999</v>
      </c>
      <c r="D424" s="13" t="n">
        <v>72.45999999999999</v>
      </c>
      <c r="E424" s="13">
        <f>IF(OR(C424="",D424=""),"",ABS(C424-D424))</f>
        <v/>
      </c>
      <c r="F424" s="11" t="inlineStr">
        <is>
          <t>VAN</t>
        </is>
      </c>
      <c r="G424" s="12" t="n">
        <v>110</v>
      </c>
      <c r="H424" s="14">
        <f>IF(OR(F424="",G424="",AND(I424&lt;&gt;"W",I424&lt;&gt;"L")),"",IF(I424="W",IF(G424&gt;0,G424/100,1),IF(G424&lt;0,G424/100,-1)))</f>
        <v/>
      </c>
      <c r="I424" s="11" t="inlineStr">
        <is>
          <t>L</t>
        </is>
      </c>
      <c r="J424" s="10" t="inlineStr">
        <is>
          <t>DET 4, VAN 0</t>
        </is>
      </c>
      <c r="K424" s="10" t="inlineStr">
        <is>
          <t>DraftKings closing</t>
        </is>
      </c>
    </row>
    <row r="425">
      <c r="A425" s="9" t="n">
        <v>45999</v>
      </c>
      <c r="B425" s="10" t="inlineStr">
        <is>
          <t>MIN @ SEA</t>
        </is>
      </c>
      <c r="C425" s="13" t="n">
        <v>67.54000000000001</v>
      </c>
      <c r="D425" s="13" t="n">
        <v>71.51000000000001</v>
      </c>
      <c r="E425" s="13">
        <f>IF(OR(C425="",D425=""),"",ABS(C425-D425))</f>
        <v/>
      </c>
      <c r="F425" s="11" t="inlineStr">
        <is>
          <t>SEA</t>
        </is>
      </c>
      <c r="G425" s="12" t="n">
        <v>114</v>
      </c>
      <c r="H425" s="14">
        <f>IF(OR(F425="",G425="",AND(I425&lt;&gt;"W",I425&lt;&gt;"L")),"",IF(I425="W",IF(G425&gt;0,G425/100,1),IF(G425&lt;0,G425/100,-1)))</f>
        <v/>
      </c>
      <c r="I425" s="11" t="inlineStr">
        <is>
          <t>L</t>
        </is>
      </c>
      <c r="J425" s="10" t="inlineStr">
        <is>
          <t>MIN 4, SEA 1</t>
        </is>
      </c>
      <c r="K425" s="10" t="inlineStr">
        <is>
          <t>DraftKings closing</t>
        </is>
      </c>
    </row>
    <row r="426">
      <c r="A426" s="9" t="n">
        <v>46000</v>
      </c>
      <c r="B426" s="10" t="inlineStr">
        <is>
          <t>TBL @ MTL</t>
        </is>
      </c>
      <c r="C426" s="13" t="n">
        <v>71.44</v>
      </c>
      <c r="D426" s="13" t="n">
        <v>71.25</v>
      </c>
      <c r="E426" s="13">
        <f>IF(OR(C426="",D426=""),"",ABS(C426-D426))</f>
        <v/>
      </c>
      <c r="F426" s="11" t="inlineStr">
        <is>
          <t>TBL</t>
        </is>
      </c>
      <c r="G426" s="12" t="n">
        <v>-112</v>
      </c>
      <c r="H426" s="14">
        <f>IF(OR(F426="",G426="",AND(I426&lt;&gt;"W",I426&lt;&gt;"L")),"",IF(I426="W",IF(G426&gt;0,G426/100,1),IF(G426&lt;0,G426/100,-1)))</f>
        <v/>
      </c>
      <c r="I426" s="11" t="inlineStr">
        <is>
          <t>W</t>
        </is>
      </c>
      <c r="J426" s="10" t="inlineStr">
        <is>
          <t>TBL 6, MTL 1</t>
        </is>
      </c>
      <c r="K426" s="10" t="inlineStr">
        <is>
          <t>DraftKings closing</t>
        </is>
      </c>
    </row>
    <row r="427">
      <c r="A427" s="9" t="n">
        <v>46000</v>
      </c>
      <c r="B427" s="10" t="inlineStr">
        <is>
          <t>NJD @ OTT</t>
        </is>
      </c>
      <c r="C427" s="13" t="n">
        <v>68.22</v>
      </c>
      <c r="D427" s="13" t="n">
        <v>73.64</v>
      </c>
      <c r="E427" s="13">
        <f>IF(OR(C427="",D427=""),"",ABS(C427-D427))</f>
        <v/>
      </c>
      <c r="F427" s="11" t="inlineStr">
        <is>
          <t>OTT</t>
        </is>
      </c>
      <c r="G427" s="12" t="n">
        <v>-155</v>
      </c>
      <c r="H427" s="14">
        <f>IF(OR(F427="",G427="",AND(I427&lt;&gt;"W",I427&lt;&gt;"L")),"",IF(I427="W",IF(G427&gt;0,G427/100,1),IF(G427&lt;0,G427/100,-1)))</f>
        <v/>
      </c>
      <c r="I427" s="11" t="inlineStr">
        <is>
          <t>L</t>
        </is>
      </c>
      <c r="J427" s="10" t="inlineStr">
        <is>
          <t>NJD 4, OTT 3</t>
        </is>
      </c>
      <c r="K427" s="10" t="inlineStr">
        <is>
          <t>DraftKings closing</t>
        </is>
      </c>
    </row>
    <row r="428">
      <c r="A428" s="9" t="n">
        <v>46000</v>
      </c>
      <c r="B428" s="10" t="inlineStr">
        <is>
          <t>VGK @ NYI</t>
        </is>
      </c>
      <c r="C428" s="13" t="n">
        <v>80.75</v>
      </c>
      <c r="D428" s="13" t="n">
        <v>59.33</v>
      </c>
      <c r="E428" s="13">
        <f>IF(OR(C428="",D428=""),"",ABS(C428-D428))</f>
        <v/>
      </c>
      <c r="F428" s="11" t="inlineStr">
        <is>
          <t>VGK</t>
        </is>
      </c>
      <c r="G428" s="12" t="n">
        <v>-155</v>
      </c>
      <c r="H428" s="14">
        <f>IF(OR(F428="",G428="",AND(I428&lt;&gt;"W",I428&lt;&gt;"L")),"",IF(I428="W",IF(G428&gt;0,G428/100,1),IF(G428&lt;0,G428/100,-1)))</f>
        <v/>
      </c>
      <c r="I428" s="11" t="inlineStr">
        <is>
          <t>L</t>
        </is>
      </c>
      <c r="J428" s="10" t="inlineStr">
        <is>
          <t>VGK 4, NYI 5</t>
        </is>
      </c>
      <c r="K428" s="10" t="inlineStr">
        <is>
          <t>DraftKings closing</t>
        </is>
      </c>
    </row>
    <row r="429">
      <c r="A429" s="9" t="n">
        <v>46000</v>
      </c>
      <c r="B429" s="10" t="inlineStr">
        <is>
          <t>SJS @ PHI</t>
        </is>
      </c>
      <c r="C429" s="13" t="n">
        <v>64.34</v>
      </c>
      <c r="D429" s="13" t="n">
        <v>64.55</v>
      </c>
      <c r="E429" s="13">
        <f>IF(OR(C429="",D429=""),"",ABS(C429-D429))</f>
        <v/>
      </c>
      <c r="F429" s="11" t="inlineStr">
        <is>
          <t>PHI</t>
        </is>
      </c>
      <c r="G429" s="12" t="n">
        <v>-180</v>
      </c>
      <c r="H429" s="14">
        <f>IF(OR(F429="",G429="",AND(I429&lt;&gt;"W",I429&lt;&gt;"L")),"",IF(I429="W",IF(G429&gt;0,G429/100,1),IF(G429&lt;0,G429/100,-1)))</f>
        <v/>
      </c>
      <c r="I429" s="11" t="inlineStr">
        <is>
          <t>W</t>
        </is>
      </c>
      <c r="J429" s="10" t="inlineStr">
        <is>
          <t>SJS 1, PHI 4</t>
        </is>
      </c>
      <c r="K429" s="10" t="inlineStr">
        <is>
          <t>DraftKings closing</t>
        </is>
      </c>
    </row>
    <row r="430">
      <c r="A430" s="9" t="n">
        <v>46000</v>
      </c>
      <c r="B430" s="10" t="inlineStr">
        <is>
          <t>ANA @ PIT</t>
        </is>
      </c>
      <c r="C430" s="13" t="n">
        <v>100</v>
      </c>
      <c r="D430" s="13" t="n">
        <v>74.72</v>
      </c>
      <c r="E430" s="13">
        <f>IF(OR(C430="",D430=""),"",ABS(C430-D430))</f>
        <v/>
      </c>
      <c r="F430" s="11" t="inlineStr">
        <is>
          <t>ANA</t>
        </is>
      </c>
      <c r="G430" s="12" t="n">
        <v>-112</v>
      </c>
      <c r="H430" s="14">
        <f>IF(OR(F430="",G430="",AND(I430&lt;&gt;"W",I430&lt;&gt;"L")),"",IF(I430="W",IF(G430&gt;0,G430/100,1),IF(G430&lt;0,G430/100,-1)))</f>
        <v/>
      </c>
      <c r="I430" s="11" t="inlineStr">
        <is>
          <t>W</t>
        </is>
      </c>
      <c r="J430" s="10" t="inlineStr">
        <is>
          <t>ANA 4, PIT 3</t>
        </is>
      </c>
      <c r="K430" s="10" t="inlineStr">
        <is>
          <t>DraftKings closing</t>
        </is>
      </c>
    </row>
    <row r="431">
      <c r="A431" s="9" t="n">
        <v>46000</v>
      </c>
      <c r="B431" s="10" t="inlineStr">
        <is>
          <t>CBJ @ CAR</t>
        </is>
      </c>
      <c r="C431" s="13" t="n">
        <v>66.3</v>
      </c>
      <c r="D431" s="13" t="n">
        <v>75.66</v>
      </c>
      <c r="E431" s="13">
        <f>IF(OR(C431="",D431=""),"",ABS(C431-D431))</f>
        <v/>
      </c>
      <c r="F431" s="11" t="inlineStr">
        <is>
          <t>CAR</t>
        </is>
      </c>
      <c r="G431" s="12" t="n">
        <v>-218</v>
      </c>
      <c r="H431" s="14">
        <f>IF(OR(F431="",G431="",AND(I431&lt;&gt;"W",I431&lt;&gt;"L")),"",IF(I431="W",IF(G431&gt;0,G431/100,1),IF(G431&lt;0,G431/100,-1)))</f>
        <v/>
      </c>
      <c r="I431" s="11" t="inlineStr">
        <is>
          <t>W</t>
        </is>
      </c>
      <c r="J431" s="10" t="inlineStr">
        <is>
          <t>CBJ 1, CAR 4</t>
        </is>
      </c>
      <c r="K431" s="10" t="inlineStr">
        <is>
          <t>DraftKings closing</t>
        </is>
      </c>
    </row>
    <row r="432">
      <c r="A432" s="9" t="n">
        <v>46000</v>
      </c>
      <c r="B432" s="10" t="inlineStr">
        <is>
          <t>BOS @ STL</t>
        </is>
      </c>
      <c r="C432" s="13" t="n">
        <v>71.78</v>
      </c>
      <c r="D432" s="13" t="n">
        <v>68.75</v>
      </c>
      <c r="E432" s="13">
        <f>IF(OR(C432="",D432=""),"",ABS(C432-D432))</f>
        <v/>
      </c>
      <c r="F432" s="11" t="inlineStr">
        <is>
          <t>BOS</t>
        </is>
      </c>
      <c r="G432" s="12" t="n">
        <v>105</v>
      </c>
      <c r="H432" s="14">
        <f>IF(OR(F432="",G432="",AND(I432&lt;&gt;"W",I432&lt;&gt;"L")),"",IF(I432="W",IF(G432&gt;0,G432/100,1),IF(G432&lt;0,G432/100,-1)))</f>
        <v/>
      </c>
      <c r="I432" s="11" t="inlineStr">
        <is>
          <t>W</t>
        </is>
      </c>
      <c r="J432" s="10" t="inlineStr">
        <is>
          <t>BOS 5, STL 2</t>
        </is>
      </c>
      <c r="K432" s="10" t="inlineStr">
        <is>
          <t>DraftKings closing</t>
        </is>
      </c>
    </row>
    <row r="433">
      <c r="A433" s="9" t="n">
        <v>46000</v>
      </c>
      <c r="B433" s="10" t="inlineStr">
        <is>
          <t>DAL @ WPG</t>
        </is>
      </c>
      <c r="C433" s="13" t="n">
        <v>65.28</v>
      </c>
      <c r="D433" s="13" t="n">
        <v>54.23</v>
      </c>
      <c r="E433" s="13">
        <f>IF(OR(C433="",D433=""),"",ABS(C433-D433))</f>
        <v/>
      </c>
      <c r="F433" s="11" t="inlineStr">
        <is>
          <t>DAL</t>
        </is>
      </c>
      <c r="G433" s="12" t="n">
        <v>-148</v>
      </c>
      <c r="H433" s="14">
        <f>IF(OR(F433="",G433="",AND(I433&lt;&gt;"W",I433&lt;&gt;"L")),"",IF(I433="W",IF(G433&gt;0,G433/100,1),IF(G433&lt;0,G433/100,-1)))</f>
        <v/>
      </c>
      <c r="I433" s="11" t="inlineStr">
        <is>
          <t>W</t>
        </is>
      </c>
      <c r="J433" s="10" t="inlineStr">
        <is>
          <t>DAL 4, WPG 3</t>
        </is>
      </c>
      <c r="K433" s="10" t="inlineStr">
        <is>
          <t>DraftKings closing</t>
        </is>
      </c>
    </row>
    <row r="434">
      <c r="A434" s="9" t="n">
        <v>46000</v>
      </c>
      <c r="B434" s="10" t="inlineStr">
        <is>
          <t>BUF @ EDM</t>
        </is>
      </c>
      <c r="C434" s="13" t="n">
        <v>71.37</v>
      </c>
      <c r="D434" s="13" t="n">
        <v>85.77</v>
      </c>
      <c r="E434" s="13">
        <f>IF(OR(C434="",D434=""),"",ABS(C434-D434))</f>
        <v/>
      </c>
      <c r="F434" s="11" t="inlineStr">
        <is>
          <t>EDM</t>
        </is>
      </c>
      <c r="G434" s="12" t="n">
        <v>-205</v>
      </c>
      <c r="H434" s="14">
        <f>IF(OR(F434="",G434="",AND(I434&lt;&gt;"W",I434&lt;&gt;"L")),"",IF(I434="W",IF(G434&gt;0,G434/100,1),IF(G434&lt;0,G434/100,-1)))</f>
        <v/>
      </c>
      <c r="I434" s="11" t="inlineStr">
        <is>
          <t>L</t>
        </is>
      </c>
      <c r="J434" s="10" t="inlineStr">
        <is>
          <t>BUF 4, EDM 3</t>
        </is>
      </c>
      <c r="K434" s="10" t="inlineStr">
        <is>
          <t>DraftKings closing</t>
        </is>
      </c>
    </row>
    <row r="435">
      <c r="A435" s="9" t="n">
        <v>46000</v>
      </c>
      <c r="B435" s="10" t="inlineStr">
        <is>
          <t>COL @ NSH</t>
        </is>
      </c>
      <c r="C435" s="13" t="n">
        <v>75.45</v>
      </c>
      <c r="D435" s="13" t="n">
        <v>50.81</v>
      </c>
      <c r="E435" s="13">
        <f>IF(OR(C435="",D435=""),"",ABS(C435-D435))</f>
        <v/>
      </c>
      <c r="F435" s="11" t="inlineStr">
        <is>
          <t>COL</t>
        </is>
      </c>
      <c r="G435" s="12" t="n">
        <v>-205</v>
      </c>
      <c r="H435" s="14">
        <f>IF(OR(F435="",G435="",AND(I435&lt;&gt;"W",I435&lt;&gt;"L")),"",IF(I435="W",IF(G435&gt;0,G435/100,1),IF(G435&lt;0,G435/100,-1)))</f>
        <v/>
      </c>
      <c r="I435" s="11" t="inlineStr">
        <is>
          <t>L</t>
        </is>
      </c>
      <c r="J435" s="10" t="inlineStr">
        <is>
          <t>COL 3, NSH 4</t>
        </is>
      </c>
      <c r="K435" s="10" t="inlineStr">
        <is>
          <t>DraftKings closing</t>
        </is>
      </c>
    </row>
    <row r="436">
      <c r="A436" s="9" t="n">
        <v>46001</v>
      </c>
      <c r="B436" s="10" t="inlineStr">
        <is>
          <t>NYR @ CHI</t>
        </is>
      </c>
      <c r="C436" s="13" t="n">
        <v>59.25</v>
      </c>
      <c r="D436" s="13" t="n">
        <v>27.9</v>
      </c>
      <c r="E436" s="13">
        <f>IF(OR(C436="",D436=""),"",ABS(C436-D436))</f>
        <v/>
      </c>
      <c r="F436" s="11" t="inlineStr">
        <is>
          <t>NYR</t>
        </is>
      </c>
      <c r="G436" s="12" t="n">
        <v>-148</v>
      </c>
      <c r="H436" s="14">
        <f>IF(OR(F436="",G436="",AND(I436&lt;&gt;"W",I436&lt;&gt;"L")),"",IF(I436="W",IF(G436&gt;0,G436/100,1),IF(G436&lt;0,G436/100,-1)))</f>
        <v/>
      </c>
      <c r="I436" s="11" t="inlineStr">
        <is>
          <t>L</t>
        </is>
      </c>
      <c r="J436" s="10" t="inlineStr">
        <is>
          <t>NYR 0, CHI 3</t>
        </is>
      </c>
      <c r="K436" s="10" t="inlineStr">
        <is>
          <t>DraftKings closing</t>
        </is>
      </c>
    </row>
    <row r="437">
      <c r="A437" s="9" t="n">
        <v>46001</v>
      </c>
      <c r="B437" s="10" t="inlineStr">
        <is>
          <t>DET @ CGY</t>
        </is>
      </c>
      <c r="C437" s="13" t="n">
        <v>67.92</v>
      </c>
      <c r="D437" s="13" t="n">
        <v>68.63</v>
      </c>
      <c r="E437" s="13">
        <f>IF(OR(C437="",D437=""),"",ABS(C437-D437))</f>
        <v/>
      </c>
      <c r="F437" s="11" t="inlineStr">
        <is>
          <t>CGY</t>
        </is>
      </c>
      <c r="G437" s="12" t="n">
        <v>-105</v>
      </c>
      <c r="H437" s="14">
        <f>IF(OR(F437="",G437="",AND(I437&lt;&gt;"W",I437&lt;&gt;"L")),"",IF(I437="W",IF(G437&gt;0,G437/100,1),IF(G437&lt;0,G437/100,-1)))</f>
        <v/>
      </c>
      <c r="I437" s="11" t="inlineStr">
        <is>
          <t>L</t>
        </is>
      </c>
      <c r="J437" s="10" t="inlineStr">
        <is>
          <t>DET 4, CGY 3</t>
        </is>
      </c>
      <c r="K437" s="10" t="inlineStr">
        <is>
          <t>DraftKings closing</t>
        </is>
      </c>
    </row>
    <row r="438">
      <c r="A438" s="9" t="n">
        <v>46001</v>
      </c>
      <c r="B438" s="10" t="inlineStr">
        <is>
          <t>FLA @ UTA</t>
        </is>
      </c>
      <c r="C438" s="13" t="n">
        <v>80.67</v>
      </c>
      <c r="D438" s="13" t="n">
        <v>61.55</v>
      </c>
      <c r="E438" s="13">
        <f>IF(OR(C438="",D438=""),"",ABS(C438-D438))</f>
        <v/>
      </c>
      <c r="F438" s="11" t="inlineStr">
        <is>
          <t>FLA</t>
        </is>
      </c>
      <c r="G438" s="12" t="n">
        <v>-115</v>
      </c>
      <c r="H438" s="14">
        <f>IF(OR(F438="",G438="",AND(I438&lt;&gt;"W",I438&lt;&gt;"L")),"",IF(I438="W",IF(G438&gt;0,G438/100,1),IF(G438&lt;0,G438/100,-1)))</f>
        <v/>
      </c>
      <c r="I438" s="11" t="inlineStr">
        <is>
          <t>W</t>
        </is>
      </c>
      <c r="J438" s="10" t="inlineStr">
        <is>
          <t>FLA 4, UTA 3</t>
        </is>
      </c>
      <c r="K438" s="10" t="inlineStr">
        <is>
          <t>DraftKings closing</t>
        </is>
      </c>
    </row>
    <row r="439">
      <c r="A439" s="9" t="n">
        <v>46001</v>
      </c>
      <c r="B439" s="10" t="inlineStr">
        <is>
          <t>LAK @ SEA</t>
        </is>
      </c>
      <c r="C439" s="13" t="n">
        <v>78.45</v>
      </c>
      <c r="D439" s="13" t="n">
        <v>66.39</v>
      </c>
      <c r="E439" s="13">
        <f>IF(OR(C439="",D439=""),"",ABS(C439-D439))</f>
        <v/>
      </c>
      <c r="F439" s="11" t="inlineStr">
        <is>
          <t>LAK</t>
        </is>
      </c>
      <c r="G439" s="12" t="n">
        <v>-148</v>
      </c>
      <c r="H439" s="14">
        <f>IF(OR(F439="",G439="",AND(I439&lt;&gt;"W",I439&lt;&gt;"L")),"",IF(I439="W",IF(G439&gt;0,G439/100,1),IF(G439&lt;0,G439/100,-1)))</f>
        <v/>
      </c>
      <c r="I439" s="11" t="inlineStr">
        <is>
          <t>L</t>
        </is>
      </c>
      <c r="J439" s="10" t="inlineStr">
        <is>
          <t>LAK 2, SEA 3</t>
        </is>
      </c>
      <c r="K439" s="10" t="inlineStr">
        <is>
          <t>DraftKings closing</t>
        </is>
      </c>
    </row>
    <row r="440">
      <c r="A440" s="9" t="n">
        <v>46002</v>
      </c>
      <c r="B440" s="10" t="inlineStr">
        <is>
          <t>SJS @ TOR</t>
        </is>
      </c>
      <c r="C440" s="13" t="n">
        <v>56.21</v>
      </c>
      <c r="D440" s="13" t="n">
        <v>68.56</v>
      </c>
      <c r="E440" s="13">
        <f>IF(OR(C440="",D440=""),"",ABS(C440-D440))</f>
        <v/>
      </c>
      <c r="F440" s="11" t="inlineStr">
        <is>
          <t>TOR</t>
        </is>
      </c>
      <c r="G440" s="12" t="n">
        <v>-205</v>
      </c>
      <c r="H440" s="14">
        <f>IF(OR(F440="",G440="",AND(I440&lt;&gt;"W",I440&lt;&gt;"L")),"",IF(I440="W",IF(G440&gt;0,G440/100,1),IF(G440&lt;0,G440/100,-1)))</f>
        <v/>
      </c>
      <c r="I440" s="11" t="inlineStr">
        <is>
          <t>L</t>
        </is>
      </c>
      <c r="J440" s="10" t="inlineStr">
        <is>
          <t>SJS 3, TOR 2</t>
        </is>
      </c>
      <c r="K440" s="10" t="inlineStr">
        <is>
          <t>DraftKings closing</t>
        </is>
      </c>
    </row>
    <row r="441">
      <c r="A441" s="9" t="n">
        <v>46002</v>
      </c>
      <c r="B441" s="10" t="inlineStr">
        <is>
          <t>TBL @ NJD</t>
        </is>
      </c>
      <c r="C441" s="13" t="n">
        <v>89.61</v>
      </c>
      <c r="D441" s="13" t="n">
        <v>64.78</v>
      </c>
      <c r="E441" s="13">
        <f>IF(OR(C441="",D441=""),"",ABS(C441-D441))</f>
        <v/>
      </c>
      <c r="F441" s="11" t="inlineStr">
        <is>
          <t>TBL</t>
        </is>
      </c>
      <c r="G441" s="12" t="n">
        <v>-135</v>
      </c>
      <c r="H441" s="14">
        <f>IF(OR(F441="",G441="",AND(I441&lt;&gt;"W",I441&lt;&gt;"L")),"",IF(I441="W",IF(G441&gt;0,G441/100,1),IF(G441&lt;0,G441/100,-1)))</f>
        <v/>
      </c>
      <c r="I441" s="11" t="inlineStr">
        <is>
          <t>W</t>
        </is>
      </c>
      <c r="J441" s="10" t="inlineStr">
        <is>
          <t>TBL 8, NJD 4</t>
        </is>
      </c>
      <c r="K441" s="10" t="inlineStr">
        <is>
          <t>DraftKings closing</t>
        </is>
      </c>
    </row>
    <row r="442">
      <c r="A442" s="9" t="n">
        <v>46002</v>
      </c>
      <c r="B442" s="10" t="inlineStr">
        <is>
          <t>ANA @ NYI</t>
        </is>
      </c>
      <c r="C442" s="13" t="n">
        <v>56.67</v>
      </c>
      <c r="D442" s="13" t="n">
        <v>67.77</v>
      </c>
      <c r="E442" s="13">
        <f>IF(OR(C442="",D442=""),"",ABS(C442-D442))</f>
        <v/>
      </c>
      <c r="F442" s="11" t="inlineStr">
        <is>
          <t>NYI</t>
        </is>
      </c>
      <c r="G442" s="12" t="n">
        <v>-115</v>
      </c>
      <c r="H442" s="14">
        <f>IF(OR(F442="",G442="",AND(I442&lt;&gt;"W",I442&lt;&gt;"L")),"",IF(I442="W",IF(G442&gt;0,G442/100,1),IF(G442&lt;0,G442/100,-1)))</f>
        <v/>
      </c>
      <c r="I442" s="11" t="inlineStr">
        <is>
          <t>W</t>
        </is>
      </c>
      <c r="J442" s="10" t="inlineStr">
        <is>
          <t>ANA 2, NYI 5</t>
        </is>
      </c>
      <c r="K442" s="10" t="inlineStr">
        <is>
          <t>DraftKings closing</t>
        </is>
      </c>
    </row>
    <row r="443">
      <c r="A443" s="9" t="n">
        <v>46002</v>
      </c>
      <c r="B443" s="10" t="inlineStr">
        <is>
          <t>VGK @ PHI</t>
        </is>
      </c>
      <c r="C443" s="13" t="n">
        <v>72.23</v>
      </c>
      <c r="D443" s="13" t="n">
        <v>83.79000000000001</v>
      </c>
      <c r="E443" s="13">
        <f>IF(OR(C443="",D443=""),"",ABS(C443-D443))</f>
        <v/>
      </c>
      <c r="F443" s="11" t="inlineStr">
        <is>
          <t>PHI</t>
        </is>
      </c>
      <c r="G443" s="12" t="n">
        <v>136</v>
      </c>
      <c r="H443" s="14">
        <f>IF(OR(F443="",G443="",AND(I443&lt;&gt;"W",I443&lt;&gt;"L")),"",IF(I443="W",IF(G443&gt;0,G443/100,1),IF(G443&lt;0,G443/100,-1)))</f>
        <v/>
      </c>
      <c r="I443" s="11" t="inlineStr">
        <is>
          <t>L</t>
        </is>
      </c>
      <c r="J443" s="10" t="inlineStr">
        <is>
          <t>VGK 3, PHI 2</t>
        </is>
      </c>
      <c r="K443" s="10" t="inlineStr">
        <is>
          <t>DraftKings closing</t>
        </is>
      </c>
    </row>
    <row r="444">
      <c r="A444" s="9" t="n">
        <v>46002</v>
      </c>
      <c r="B444" s="10" t="inlineStr">
        <is>
          <t>MTL @ PIT</t>
        </is>
      </c>
      <c r="C444" s="13" t="n">
        <v>50.39</v>
      </c>
      <c r="D444" s="13" t="n">
        <v>83.33</v>
      </c>
      <c r="E444" s="13">
        <f>IF(OR(C444="",D444=""),"",ABS(C444-D444))</f>
        <v/>
      </c>
      <c r="F444" s="11" t="inlineStr">
        <is>
          <t>PIT</t>
        </is>
      </c>
      <c r="G444" s="12" t="n">
        <v>-135</v>
      </c>
      <c r="H444" s="14">
        <f>IF(OR(F444="",G444="",AND(I444&lt;&gt;"W",I444&lt;&gt;"L")),"",IF(I444="W",IF(G444&gt;0,G444/100,1),IF(G444&lt;0,G444/100,-1)))</f>
        <v/>
      </c>
      <c r="I444" s="11" t="inlineStr">
        <is>
          <t>L</t>
        </is>
      </c>
      <c r="J444" s="10" t="inlineStr">
        <is>
          <t>MTL 4, PIT 2</t>
        </is>
      </c>
      <c r="K444" s="10" t="inlineStr">
        <is>
          <t>DraftKings closing</t>
        </is>
      </c>
    </row>
    <row r="445">
      <c r="A445" s="9" t="n">
        <v>46002</v>
      </c>
      <c r="B445" s="10" t="inlineStr">
        <is>
          <t>CAR @ WSH</t>
        </is>
      </c>
      <c r="C445" s="13" t="n">
        <v>82.23</v>
      </c>
      <c r="D445" s="13" t="n">
        <v>73.7</v>
      </c>
      <c r="E445" s="13">
        <f>IF(OR(C445="",D445=""),"",ABS(C445-D445))</f>
        <v/>
      </c>
      <c r="F445" s="11" t="inlineStr">
        <is>
          <t>CAR</t>
        </is>
      </c>
      <c r="G445" s="12" t="n">
        <v>-115</v>
      </c>
      <c r="H445" s="14">
        <f>IF(OR(F445="",G445="",AND(I445&lt;&gt;"W",I445&lt;&gt;"L")),"",IF(I445="W",IF(G445&gt;0,G445/100,1),IF(G445&lt;0,G445/100,-1)))</f>
        <v/>
      </c>
      <c r="I445" s="11" t="inlineStr">
        <is>
          <t>W</t>
        </is>
      </c>
      <c r="J445" s="10" t="inlineStr">
        <is>
          <t>CAR 3, WSH 2</t>
        </is>
      </c>
      <c r="K445" s="10" t="inlineStr">
        <is>
          <t>DraftKings closing</t>
        </is>
      </c>
    </row>
    <row r="446">
      <c r="A446" s="9" t="n">
        <v>46002</v>
      </c>
      <c r="B446" s="10" t="inlineStr">
        <is>
          <t>OTT @ CBJ</t>
        </is>
      </c>
      <c r="C446" s="13" t="n">
        <v>75.22</v>
      </c>
      <c r="D446" s="13" t="n">
        <v>57.77</v>
      </c>
      <c r="E446" s="13">
        <f>IF(OR(C446="",D446=""),"",ABS(C446-D446))</f>
        <v/>
      </c>
      <c r="F446" s="11" t="inlineStr">
        <is>
          <t>OTT</t>
        </is>
      </c>
      <c r="G446" s="12" t="n">
        <v>-130</v>
      </c>
      <c r="H446" s="14">
        <f>IF(OR(F446="",G446="",AND(I446&lt;&gt;"W",I446&lt;&gt;"L")),"",IF(I446="W",IF(G446&gt;0,G446/100,1),IF(G446&lt;0,G446/100,-1)))</f>
        <v/>
      </c>
      <c r="I446" s="11" t="inlineStr">
        <is>
          <t>W</t>
        </is>
      </c>
      <c r="J446" s="10" t="inlineStr">
        <is>
          <t>OTT 6, CBJ 3</t>
        </is>
      </c>
      <c r="K446" s="10" t="inlineStr">
        <is>
          <t>DraftKings closing</t>
        </is>
      </c>
    </row>
    <row r="447">
      <c r="A447" s="9" t="n">
        <v>46002</v>
      </c>
      <c r="B447" s="10" t="inlineStr">
        <is>
          <t>STL @ NSH</t>
        </is>
      </c>
      <c r="C447" s="13" t="n">
        <v>57.77</v>
      </c>
      <c r="D447" s="13" t="n">
        <v>63.13</v>
      </c>
      <c r="E447" s="13">
        <f>IF(OR(C447="",D447=""),"",ABS(C447-D447))</f>
        <v/>
      </c>
      <c r="F447" s="11" t="inlineStr">
        <is>
          <t>NSH</t>
        </is>
      </c>
      <c r="G447" s="12" t="n">
        <v>-135</v>
      </c>
      <c r="H447" s="14">
        <f>IF(OR(F447="",G447="",AND(I447&lt;&gt;"W",I447&lt;&gt;"L")),"",IF(I447="W",IF(G447&gt;0,G447/100,1),IF(G447&lt;0,G447/100,-1)))</f>
        <v/>
      </c>
      <c r="I447" s="11" t="inlineStr">
        <is>
          <t>W</t>
        </is>
      </c>
      <c r="J447" s="10" t="inlineStr">
        <is>
          <t>STL 2, NSH 7</t>
        </is>
      </c>
      <c r="K447" s="10" t="inlineStr">
        <is>
          <t>DraftKings closing</t>
        </is>
      </c>
    </row>
    <row r="448">
      <c r="A448" s="9" t="n">
        <v>46002</v>
      </c>
      <c r="B448" s="10" t="inlineStr">
        <is>
          <t>DAL @ MIN</t>
        </is>
      </c>
      <c r="C448" s="13" t="n">
        <v>69</v>
      </c>
      <c r="D448" s="13" t="n">
        <v>73.61</v>
      </c>
      <c r="E448" s="13">
        <f>IF(OR(C448="",D448=""),"",ABS(C448-D448))</f>
        <v/>
      </c>
      <c r="F448" s="11" t="inlineStr">
        <is>
          <t>MIN</t>
        </is>
      </c>
      <c r="G448" s="12" t="n">
        <v>110</v>
      </c>
      <c r="H448" s="14">
        <f>IF(OR(F448="",G448="",AND(I448&lt;&gt;"W",I448&lt;&gt;"L")),"",IF(I448="W",IF(G448&gt;0,G448/100,1),IF(G448&lt;0,G448/100,-1)))</f>
        <v/>
      </c>
      <c r="I448" s="11" t="inlineStr">
        <is>
          <t>W</t>
        </is>
      </c>
      <c r="J448" s="10" t="inlineStr">
        <is>
          <t>DAL 2, MIN 5</t>
        </is>
      </c>
      <c r="K448" s="10" t="inlineStr">
        <is>
          <t>DraftKings closing</t>
        </is>
      </c>
    </row>
    <row r="449">
      <c r="A449" s="9" t="n">
        <v>46002</v>
      </c>
      <c r="B449" s="10" t="inlineStr">
        <is>
          <t>BOS @ WPG</t>
        </is>
      </c>
      <c r="C449" s="13" t="n">
        <v>82.23</v>
      </c>
      <c r="D449" s="13" t="n">
        <v>71</v>
      </c>
      <c r="E449" s="13">
        <f>IF(OR(C449="",D449=""),"",ABS(C449-D449))</f>
        <v/>
      </c>
      <c r="F449" s="11" t="inlineStr">
        <is>
          <t>BOS</t>
        </is>
      </c>
      <c r="G449" s="12" t="n">
        <v>130</v>
      </c>
      <c r="H449" s="14">
        <f>IF(OR(F449="",G449="",AND(I449&lt;&gt;"W",I449&lt;&gt;"L")),"",IF(I449="W",IF(G449&gt;0,G449/100,1),IF(G449&lt;0,G449/100,-1)))</f>
        <v/>
      </c>
      <c r="I449" s="11" t="inlineStr">
        <is>
          <t>W</t>
        </is>
      </c>
      <c r="J449" s="10" t="inlineStr">
        <is>
          <t>BOS 6, WPG 3</t>
        </is>
      </c>
      <c r="K449" s="10" t="inlineStr">
        <is>
          <t>DraftKings closing</t>
        </is>
      </c>
    </row>
    <row r="450">
      <c r="A450" s="9" t="n">
        <v>46002</v>
      </c>
      <c r="B450" s="10" t="inlineStr">
        <is>
          <t>DET @ EDM</t>
        </is>
      </c>
      <c r="C450" s="13" t="n">
        <v>67.31999999999999</v>
      </c>
      <c r="D450" s="13" t="n">
        <v>67.08</v>
      </c>
      <c r="E450" s="13">
        <f>IF(OR(C450="",D450=""),"",ABS(C450-D450))</f>
        <v/>
      </c>
      <c r="F450" s="11" t="inlineStr">
        <is>
          <t>DET</t>
        </is>
      </c>
      <c r="G450" s="12" t="n">
        <v>154</v>
      </c>
      <c r="H450" s="14">
        <f>IF(OR(F450="",G450="",AND(I450&lt;&gt;"W",I450&lt;&gt;"L")),"",IF(I450="W",IF(G450&gt;0,G450/100,1),IF(G450&lt;0,G450/100,-1)))</f>
        <v/>
      </c>
      <c r="I450" s="11" t="inlineStr">
        <is>
          <t>L</t>
        </is>
      </c>
      <c r="J450" s="10" t="inlineStr">
        <is>
          <t>DET 1, EDM 4</t>
        </is>
      </c>
      <c r="K450" s="10" t="inlineStr">
        <is>
          <t>DraftKings closing</t>
        </is>
      </c>
    </row>
    <row r="451">
      <c r="A451" s="9" t="n">
        <v>46002</v>
      </c>
      <c r="B451" s="10" t="inlineStr">
        <is>
          <t>FLA @ COL</t>
        </is>
      </c>
      <c r="C451" s="13" t="n">
        <v>79.02</v>
      </c>
      <c r="D451" s="13" t="n">
        <v>76.87</v>
      </c>
      <c r="E451" s="13">
        <f>IF(OR(C451="",D451=""),"",ABS(C451-D451))</f>
        <v/>
      </c>
      <c r="F451" s="11" t="inlineStr">
        <is>
          <t>FLA</t>
        </is>
      </c>
      <c r="G451" s="12" t="n">
        <v>195</v>
      </c>
      <c r="H451" s="14">
        <f>IF(OR(F451="",G451="",AND(I451&lt;&gt;"W",I451&lt;&gt;"L")),"",IF(I451="W",IF(G451&gt;0,G451/100,1),IF(G451&lt;0,G451/100,-1)))</f>
        <v/>
      </c>
      <c r="I451" s="11" t="inlineStr">
        <is>
          <t>L</t>
        </is>
      </c>
      <c r="J451" s="10" t="inlineStr">
        <is>
          <t>FLA 2, COL 6</t>
        </is>
      </c>
      <c r="K451" s="10" t="inlineStr">
        <is>
          <t>DraftKings closing</t>
        </is>
      </c>
    </row>
    <row r="452">
      <c r="A452" s="9" t="n">
        <v>46002</v>
      </c>
      <c r="B452" s="10" t="inlineStr">
        <is>
          <t>BUF @ VAN</t>
        </is>
      </c>
      <c r="C452" s="13" t="n">
        <v>72.92</v>
      </c>
      <c r="D452" s="13" t="n">
        <v>72.08</v>
      </c>
      <c r="E452" s="13">
        <f>IF(OR(C452="",D452=""),"",ABS(C452-D452))</f>
        <v/>
      </c>
      <c r="F452" s="11" t="inlineStr">
        <is>
          <t>BUF</t>
        </is>
      </c>
      <c r="G452" s="12" t="n">
        <v>-115</v>
      </c>
      <c r="H452" s="14">
        <f>IF(OR(F452="",G452="",AND(I452&lt;&gt;"W",I452&lt;&gt;"L")),"",IF(I452="W",IF(G452&gt;0,G452/100,1),IF(G452&lt;0,G452/100,-1)))</f>
        <v/>
      </c>
      <c r="I452" s="11" t="inlineStr">
        <is>
          <t>W</t>
        </is>
      </c>
      <c r="J452" s="10" t="inlineStr">
        <is>
          <t>BUF 3, VAN 2</t>
        </is>
      </c>
      <c r="K452" s="10" t="inlineStr">
        <is>
          <t>DraftKings closing</t>
        </is>
      </c>
    </row>
    <row r="453">
      <c r="A453" s="9" t="n">
        <v>46003</v>
      </c>
      <c r="B453" s="10" t="inlineStr">
        <is>
          <t>CHI @ STL</t>
        </is>
      </c>
      <c r="C453" s="13" t="n">
        <v>82.05</v>
      </c>
      <c r="D453" s="13" t="n">
        <v>48.97</v>
      </c>
      <c r="E453" s="13">
        <f>IF(OR(C453="",D453=""),"",ABS(C453-D453))</f>
        <v/>
      </c>
      <c r="F453" s="11" t="inlineStr">
        <is>
          <t>CHI</t>
        </is>
      </c>
      <c r="G453" s="12" t="n">
        <v>-115</v>
      </c>
      <c r="H453" s="14">
        <f>IF(OR(F453="",G453="",AND(I453&lt;&gt;"W",I453&lt;&gt;"L")),"",IF(I453="W",IF(G453&gt;0,G453/100,1),IF(G453&lt;0,G453/100,-1)))</f>
        <v/>
      </c>
      <c r="I453" s="11" t="inlineStr">
        <is>
          <t>L</t>
        </is>
      </c>
      <c r="J453" s="10" t="inlineStr">
        <is>
          <t>CHI 2, STL 3</t>
        </is>
      </c>
      <c r="K453" s="10" t="inlineStr">
        <is>
          <t>DraftKings closing</t>
        </is>
      </c>
    </row>
    <row r="454">
      <c r="A454" s="9" t="n">
        <v>46003</v>
      </c>
      <c r="B454" s="10" t="inlineStr">
        <is>
          <t>SEA @ UTA</t>
        </is>
      </c>
      <c r="C454" s="13" t="n">
        <v>75.62</v>
      </c>
      <c r="D454" s="13" t="n">
        <v>60.98</v>
      </c>
      <c r="E454" s="13">
        <f>IF(OR(C454="",D454=""),"",ABS(C454-D454))</f>
        <v/>
      </c>
      <c r="F454" s="11" t="inlineStr">
        <is>
          <t>SEA</t>
        </is>
      </c>
      <c r="G454" s="12" t="n">
        <v>160</v>
      </c>
      <c r="H454" s="14">
        <f>IF(OR(F454="",G454="",AND(I454&lt;&gt;"W",I454&lt;&gt;"L")),"",IF(I454="W",IF(G454&gt;0,G454/100,1),IF(G454&lt;0,G454/100,-1)))</f>
        <v/>
      </c>
      <c r="I454" s="11" t="inlineStr">
        <is>
          <t>L</t>
        </is>
      </c>
      <c r="J454" s="10" t="inlineStr">
        <is>
          <t>SEA 3, UTA 5</t>
        </is>
      </c>
      <c r="K454" s="10" t="inlineStr">
        <is>
          <t>DraftKings closing</t>
        </is>
      </c>
    </row>
    <row r="455">
      <c r="A455" s="9" t="n">
        <v>46004</v>
      </c>
      <c r="B455" s="10" t="inlineStr">
        <is>
          <t>ANA @ NJD</t>
        </is>
      </c>
      <c r="C455" s="13" t="n">
        <v>64.89</v>
      </c>
      <c r="D455" s="13" t="n">
        <v>58.38</v>
      </c>
      <c r="E455" s="13">
        <f>IF(OR(C455="",D455=""),"",ABS(C455-D455))</f>
        <v/>
      </c>
      <c r="F455" s="11" t="inlineStr">
        <is>
          <t>ANA</t>
        </is>
      </c>
      <c r="G455" s="12" t="n">
        <v>-110</v>
      </c>
      <c r="H455" s="14">
        <f>IF(OR(F455="",G455="",AND(I455&lt;&gt;"W",I455&lt;&gt;"L")),"",IF(I455="W",IF(G455&gt;0,G455/100,1),IF(G455&lt;0,G455/100,-1)))</f>
        <v/>
      </c>
      <c r="I455" s="11" t="inlineStr">
        <is>
          <t>L</t>
        </is>
      </c>
      <c r="J455" s="10" t="inlineStr">
        <is>
          <t>ANA 1, NJD 4</t>
        </is>
      </c>
      <c r="K455" s="10" t="inlineStr">
        <is>
          <t>DraftKings closing</t>
        </is>
      </c>
    </row>
    <row r="456">
      <c r="A456" s="9" t="n">
        <v>46004</v>
      </c>
      <c r="B456" s="10" t="inlineStr">
        <is>
          <t>OTT @ MIN</t>
        </is>
      </c>
      <c r="C456" s="13" t="n">
        <v>77.54000000000001</v>
      </c>
      <c r="D456" s="13" t="n">
        <v>80.33</v>
      </c>
      <c r="E456" s="13">
        <f>IF(OR(C456="",D456=""),"",ABS(C456-D456))</f>
        <v/>
      </c>
      <c r="F456" s="11" t="inlineStr">
        <is>
          <t>MIN</t>
        </is>
      </c>
      <c r="G456" s="12" t="n">
        <v>-120</v>
      </c>
      <c r="H456" s="14">
        <f>IF(OR(F456="",G456="",AND(I456&lt;&gt;"W",I456&lt;&gt;"L")),"",IF(I456="W",IF(G456&gt;0,G456/100,1),IF(G456&lt;0,G456/100,-1)))</f>
        <v/>
      </c>
      <c r="I456" s="11" t="inlineStr">
        <is>
          <t>W</t>
        </is>
      </c>
      <c r="J456" s="10" t="inlineStr">
        <is>
          <t>OTT 2, MIN 3</t>
        </is>
      </c>
      <c r="K456" s="10" t="inlineStr">
        <is>
          <t>DraftKings closing</t>
        </is>
      </c>
    </row>
    <row r="457">
      <c r="A457" s="9" t="n">
        <v>46004</v>
      </c>
      <c r="B457" s="10" t="inlineStr">
        <is>
          <t>SJS @ PIT</t>
        </is>
      </c>
      <c r="C457" s="13" t="n">
        <v>73.93000000000001</v>
      </c>
      <c r="D457" s="13" t="n">
        <v>59.41</v>
      </c>
      <c r="E457" s="13">
        <f>IF(OR(C457="",D457=""),"",ABS(C457-D457))</f>
        <v/>
      </c>
      <c r="F457" s="11" t="inlineStr">
        <is>
          <t>SJS</t>
        </is>
      </c>
      <c r="G457" s="12" t="n">
        <v>150</v>
      </c>
      <c r="H457" s="14">
        <f>IF(OR(F457="",G457="",AND(I457&lt;&gt;"W",I457&lt;&gt;"L")),"",IF(I457="W",IF(G457&gt;0,G457/100,1),IF(G457&lt;0,G457/100,-1)))</f>
        <v/>
      </c>
      <c r="I457" s="11" t="inlineStr">
        <is>
          <t>W</t>
        </is>
      </c>
      <c r="J457" s="10" t="inlineStr">
        <is>
          <t>SJS 6, PIT 5</t>
        </is>
      </c>
      <c r="K457" s="10" t="inlineStr">
        <is>
          <t>DraftKings closing</t>
        </is>
      </c>
    </row>
    <row r="458">
      <c r="A458" s="9" t="n">
        <v>46004</v>
      </c>
      <c r="B458" s="10" t="inlineStr">
        <is>
          <t>TBL @ NYI</t>
        </is>
      </c>
      <c r="C458" s="13" t="n">
        <v>81.62</v>
      </c>
      <c r="D458" s="13" t="n">
        <v>75.11</v>
      </c>
      <c r="E458" s="13">
        <f>IF(OR(C458="",D458=""),"",ABS(C458-D458))</f>
        <v/>
      </c>
      <c r="F458" s="11" t="inlineStr">
        <is>
          <t>TBL</t>
        </is>
      </c>
      <c r="G458" s="12" t="n">
        <v>-130</v>
      </c>
      <c r="H458" s="14">
        <f>IF(OR(F458="",G458="",AND(I458&lt;&gt;"W",I458&lt;&gt;"L")),"",IF(I458="W",IF(G458&gt;0,G458/100,1),IF(G458&lt;0,G458/100,-1)))</f>
        <v/>
      </c>
      <c r="I458" s="11" t="inlineStr">
        <is>
          <t>L</t>
        </is>
      </c>
      <c r="J458" s="10" t="inlineStr">
        <is>
          <t>TBL 2, NYI 3</t>
        </is>
      </c>
      <c r="K458" s="10" t="inlineStr">
        <is>
          <t>DraftKings closing</t>
        </is>
      </c>
    </row>
    <row r="459">
      <c r="A459" s="9" t="n">
        <v>46004</v>
      </c>
      <c r="B459" s="10" t="inlineStr">
        <is>
          <t>EDM @ TOR</t>
        </is>
      </c>
      <c r="C459" s="13" t="n">
        <v>70.37</v>
      </c>
      <c r="D459" s="13" t="n">
        <v>66.06999999999999</v>
      </c>
      <c r="E459" s="13">
        <f>IF(OR(C459="",D459=""),"",ABS(C459-D459))</f>
        <v/>
      </c>
      <c r="F459" s="11" t="inlineStr">
        <is>
          <t>EDM</t>
        </is>
      </c>
      <c r="G459" s="12" t="n">
        <v>-130</v>
      </c>
      <c r="H459" s="14">
        <f>IF(OR(F459="",G459="",AND(I459&lt;&gt;"W",I459&lt;&gt;"L")),"",IF(I459="W",IF(G459&gt;0,G459/100,1),IF(G459&lt;0,G459/100,-1)))</f>
        <v/>
      </c>
      <c r="I459" s="11" t="inlineStr">
        <is>
          <t>W</t>
        </is>
      </c>
      <c r="J459" s="10" t="inlineStr">
        <is>
          <t>EDM 6, TOR 3</t>
        </is>
      </c>
      <c r="K459" s="10" t="inlineStr">
        <is>
          <t>DraftKings closing</t>
        </is>
      </c>
    </row>
    <row r="460">
      <c r="A460" s="9" t="n">
        <v>46004</v>
      </c>
      <c r="B460" s="10" t="inlineStr">
        <is>
          <t>MTL @ NYR</t>
        </is>
      </c>
      <c r="C460" s="13" t="n">
        <v>80.59</v>
      </c>
      <c r="D460" s="13" t="n">
        <v>57.95</v>
      </c>
      <c r="E460" s="13">
        <f>IF(OR(C460="",D460=""),"",ABS(C460-D460))</f>
        <v/>
      </c>
      <c r="F460" s="11" t="inlineStr">
        <is>
          <t>MTL</t>
        </is>
      </c>
      <c r="G460" s="12" t="n">
        <v>114</v>
      </c>
      <c r="H460" s="14">
        <f>IF(OR(F460="",G460="",AND(I460&lt;&gt;"W",I460&lt;&gt;"L")),"",IF(I460="W",IF(G460&gt;0,G460/100,1),IF(G460&lt;0,G460/100,-1)))</f>
        <v/>
      </c>
      <c r="I460" s="11" t="inlineStr">
        <is>
          <t>L</t>
        </is>
      </c>
      <c r="J460" s="10" t="inlineStr">
        <is>
          <t>MTL 4, NYR 5</t>
        </is>
      </c>
      <c r="K460" s="10" t="inlineStr">
        <is>
          <t>DraftKings closing</t>
        </is>
      </c>
    </row>
    <row r="461">
      <c r="A461" s="9" t="n">
        <v>46004</v>
      </c>
      <c r="B461" s="10" t="inlineStr">
        <is>
          <t>CAR @ PHI</t>
        </is>
      </c>
      <c r="C461" s="13" t="n">
        <v>82.01000000000001</v>
      </c>
      <c r="D461" s="13" t="n">
        <v>65.77</v>
      </c>
      <c r="E461" s="13">
        <f>IF(OR(C461="",D461=""),"",ABS(C461-D461))</f>
        <v/>
      </c>
      <c r="F461" s="11" t="inlineStr">
        <is>
          <t>CAR</t>
        </is>
      </c>
      <c r="G461" s="12" t="n">
        <v>-180</v>
      </c>
      <c r="H461" s="14">
        <f>IF(OR(F461="",G461="",AND(I461&lt;&gt;"W",I461&lt;&gt;"L")),"",IF(I461="W",IF(G461&gt;0,G461/100,1),IF(G461&lt;0,G461/100,-1)))</f>
        <v/>
      </c>
      <c r="I461" s="11" t="inlineStr">
        <is>
          <t>W</t>
        </is>
      </c>
      <c r="J461" s="10" t="inlineStr">
        <is>
          <t>CAR 4, PHI 3</t>
        </is>
      </c>
      <c r="K461" s="10" t="inlineStr">
        <is>
          <t>DraftKings closing</t>
        </is>
      </c>
    </row>
    <row r="462">
      <c r="A462" s="9" t="n">
        <v>46004</v>
      </c>
      <c r="B462" s="10" t="inlineStr">
        <is>
          <t>VGK @ CBJ</t>
        </is>
      </c>
      <c r="C462" s="13" t="n">
        <v>74.23</v>
      </c>
      <c r="D462" s="13" t="n">
        <v>62.46</v>
      </c>
      <c r="E462" s="13">
        <f>IF(OR(C462="",D462=""),"",ABS(C462-D462))</f>
        <v/>
      </c>
      <c r="F462" s="11" t="inlineStr">
        <is>
          <t>VGK</t>
        </is>
      </c>
      <c r="G462" s="12" t="n">
        <v>-142</v>
      </c>
      <c r="H462" s="14">
        <f>IF(OR(F462="",G462="",AND(I462&lt;&gt;"W",I462&lt;&gt;"L")),"",IF(I462="W",IF(G462&gt;0,G462/100,1),IF(G462&lt;0,G462/100,-1)))</f>
        <v/>
      </c>
      <c r="I462" s="11" t="inlineStr">
        <is>
          <t>W</t>
        </is>
      </c>
      <c r="J462" s="10" t="inlineStr">
        <is>
          <t>VGK 3, CBJ 2</t>
        </is>
      </c>
      <c r="K462" s="10" t="inlineStr">
        <is>
          <t>DraftKings closing</t>
        </is>
      </c>
    </row>
    <row r="463">
      <c r="A463" s="9" t="n">
        <v>46004</v>
      </c>
      <c r="B463" s="10" t="inlineStr">
        <is>
          <t>WSH @ WPG</t>
        </is>
      </c>
      <c r="C463" s="13" t="n">
        <v>57.99</v>
      </c>
      <c r="D463" s="13" t="n">
        <v>65.54000000000001</v>
      </c>
      <c r="E463" s="13">
        <f>IF(OR(C463="",D463=""),"",ABS(C463-D463))</f>
        <v/>
      </c>
      <c r="F463" s="11" t="inlineStr">
        <is>
          <t>WPG</t>
        </is>
      </c>
      <c r="G463" s="12" t="n">
        <v>100</v>
      </c>
      <c r="H463" s="14">
        <f>IF(OR(F463="",G463="",AND(I463&lt;&gt;"W",I463&lt;&gt;"L")),"",IF(I463="W",IF(G463&gt;0,G463/100,1),IF(G463&lt;0,G463/100,-1)))</f>
        <v/>
      </c>
      <c r="I463" s="11" t="inlineStr">
        <is>
          <t>W</t>
        </is>
      </c>
      <c r="J463" s="10" t="inlineStr">
        <is>
          <t>WSH 1, WPG 5</t>
        </is>
      </c>
      <c r="K463" s="10" t="inlineStr">
        <is>
          <t>DraftKings closing</t>
        </is>
      </c>
    </row>
    <row r="464">
      <c r="A464" s="9" t="n">
        <v>46004</v>
      </c>
      <c r="B464" s="10" t="inlineStr">
        <is>
          <t>DET @ CHI</t>
        </is>
      </c>
      <c r="C464" s="13" t="n">
        <v>69.63</v>
      </c>
      <c r="D464" s="13" t="n">
        <v>65.19</v>
      </c>
      <c r="E464" s="13">
        <f>IF(OR(C464="",D464=""),"",ABS(C464-D464))</f>
        <v/>
      </c>
      <c r="F464" s="11" t="inlineStr">
        <is>
          <t>DET</t>
        </is>
      </c>
      <c r="G464" s="12" t="n">
        <v>-192</v>
      </c>
      <c r="H464" s="14">
        <f>IF(OR(F464="",G464="",AND(I464&lt;&gt;"W",I464&lt;&gt;"L")),"",IF(I464="W",IF(G464&gt;0,G464/100,1),IF(G464&lt;0,G464/100,-1)))</f>
        <v/>
      </c>
      <c r="I464" s="11" t="inlineStr">
        <is>
          <t>W</t>
        </is>
      </c>
      <c r="J464" s="10" t="inlineStr">
        <is>
          <t>DET 4, CHI 0</t>
        </is>
      </c>
      <c r="K464" s="10" t="inlineStr">
        <is>
          <t>DraftKings closing</t>
        </is>
      </c>
    </row>
    <row r="465">
      <c r="A465" s="9" t="n">
        <v>46004</v>
      </c>
      <c r="B465" s="10" t="inlineStr">
        <is>
          <t>FLA @ DAL</t>
        </is>
      </c>
      <c r="C465" s="13" t="n">
        <v>46.71</v>
      </c>
      <c r="D465" s="13" t="n">
        <v>59.67</v>
      </c>
      <c r="E465" s="13">
        <f>IF(OR(C465="",D465=""),"",ABS(C465-D465))</f>
        <v/>
      </c>
      <c r="F465" s="11" t="inlineStr">
        <is>
          <t>DAL</t>
        </is>
      </c>
      <c r="G465" s="12" t="n">
        <v>-142</v>
      </c>
      <c r="H465" s="14">
        <f>IF(OR(F465="",G465="",AND(I465&lt;&gt;"W",I465&lt;&gt;"L")),"",IF(I465="W",IF(G465&gt;0,G465/100,1),IF(G465&lt;0,G465/100,-1)))</f>
        <v/>
      </c>
      <c r="I465" s="11" t="inlineStr">
        <is>
          <t>L</t>
        </is>
      </c>
      <c r="J465" s="10" t="inlineStr">
        <is>
          <t>FLA 4, DAL 0</t>
        </is>
      </c>
      <c r="K465" s="10" t="inlineStr">
        <is>
          <t>DraftKings closing</t>
        </is>
      </c>
    </row>
    <row r="466">
      <c r="A466" s="9" t="n">
        <v>46004</v>
      </c>
      <c r="B466" s="10" t="inlineStr">
        <is>
          <t>NSH @ COL</t>
        </is>
      </c>
      <c r="C466" s="13" t="n">
        <v>91.03</v>
      </c>
      <c r="D466" s="13" t="n">
        <v>93.29000000000001</v>
      </c>
      <c r="E466" s="13">
        <f>IF(OR(C466="",D466=""),"",ABS(C466-D466))</f>
        <v/>
      </c>
      <c r="F466" s="11" t="inlineStr">
        <is>
          <t>COL</t>
        </is>
      </c>
      <c r="G466" s="12" t="n">
        <v>-375</v>
      </c>
      <c r="H466" s="14">
        <f>IF(OR(F466="",G466="",AND(I466&lt;&gt;"W",I466&lt;&gt;"L")),"",IF(I466="W",IF(G466&gt;0,G466/100,1),IF(G466&lt;0,G466/100,-1)))</f>
        <v/>
      </c>
      <c r="I466" s="11" t="inlineStr">
        <is>
          <t>W</t>
        </is>
      </c>
      <c r="J466" s="10" t="inlineStr">
        <is>
          <t>NSH 2, COL 4</t>
        </is>
      </c>
      <c r="K466" s="10" t="inlineStr">
        <is>
          <t>DraftKings closing</t>
        </is>
      </c>
    </row>
    <row r="467">
      <c r="A467" s="9" t="n">
        <v>46004</v>
      </c>
      <c r="B467" s="10" t="inlineStr">
        <is>
          <t>CGY @ LAK</t>
        </is>
      </c>
      <c r="C467" s="13" t="n">
        <v>72.68000000000001</v>
      </c>
      <c r="D467" s="13" t="n">
        <v>64.38</v>
      </c>
      <c r="E467" s="13">
        <f>IF(OR(C467="",D467=""),"",ABS(C467-D467))</f>
        <v/>
      </c>
      <c r="F467" s="11" t="inlineStr">
        <is>
          <t>CGY</t>
        </is>
      </c>
      <c r="G467" s="12" t="n">
        <v>145</v>
      </c>
      <c r="H467" s="14">
        <f>IF(OR(F467="",G467="",AND(I467&lt;&gt;"W",I467&lt;&gt;"L")),"",IF(I467="W",IF(G467&gt;0,G467/100,1),IF(G467&lt;0,G467/100,-1)))</f>
        <v/>
      </c>
      <c r="I467" s="11" t="inlineStr">
        <is>
          <t>W</t>
        </is>
      </c>
      <c r="J467" s="10" t="inlineStr">
        <is>
          <t>CGY 2, LAK 1</t>
        </is>
      </c>
      <c r="K467" s="10" t="inlineStr">
        <is>
          <t>DraftKings closing</t>
        </is>
      </c>
    </row>
    <row r="468">
      <c r="A468" s="9" t="n">
        <v>46005</v>
      </c>
      <c r="B468" s="10" t="inlineStr">
        <is>
          <t>VAN @ NJD</t>
        </is>
      </c>
      <c r="C468" s="13" t="n">
        <v>78.11</v>
      </c>
      <c r="D468" s="13" t="n">
        <v>75.95</v>
      </c>
      <c r="E468" s="13">
        <f>IF(OR(C468="",D468=""),"",ABS(C468-D468))</f>
        <v/>
      </c>
      <c r="F468" s="11" t="inlineStr">
        <is>
          <t>VAN</t>
        </is>
      </c>
      <c r="G468" s="12" t="n">
        <v>105</v>
      </c>
      <c r="H468" s="14">
        <f>IF(OR(F468="",G468="",AND(I468&lt;&gt;"W",I468&lt;&gt;"L")),"",IF(I468="W",IF(G468&gt;0,G468/100,1),IF(G468&lt;0,G468/100,-1)))</f>
        <v/>
      </c>
      <c r="I468" s="11" t="inlineStr">
        <is>
          <t>W</t>
        </is>
      </c>
      <c r="J468" s="10" t="inlineStr">
        <is>
          <t>VAN 2, NJD 1</t>
        </is>
      </c>
      <c r="K468" s="10" t="inlineStr">
        <is>
          <t>DraftKings closing</t>
        </is>
      </c>
    </row>
    <row r="469">
      <c r="A469" s="9" t="n">
        <v>46005</v>
      </c>
      <c r="B469" s="10" t="inlineStr">
        <is>
          <t>UTA @ PIT</t>
        </is>
      </c>
      <c r="C469" s="13" t="n">
        <v>74.06999999999999</v>
      </c>
      <c r="D469" s="13" t="n">
        <v>67.76000000000001</v>
      </c>
      <c r="E469" s="13">
        <f>IF(OR(C469="",D469=""),"",ABS(C469-D469))</f>
        <v/>
      </c>
      <c r="F469" s="11" t="inlineStr">
        <is>
          <t>UTA</t>
        </is>
      </c>
      <c r="G469" s="12" t="n">
        <v>-130</v>
      </c>
      <c r="H469" s="14">
        <f>IF(OR(F469="",G469="",AND(I469&lt;&gt;"W",I469&lt;&gt;"L")),"",IF(I469="W",IF(G469&gt;0,G469/100,1),IF(G469&lt;0,G469/100,-1)))</f>
        <v/>
      </c>
      <c r="I469" s="11" t="inlineStr">
        <is>
          <t>W</t>
        </is>
      </c>
      <c r="J469" s="10" t="inlineStr">
        <is>
          <t>UTA 5, PIT 4</t>
        </is>
      </c>
      <c r="K469" s="10" t="inlineStr">
        <is>
          <t>DraftKings closing</t>
        </is>
      </c>
    </row>
    <row r="470">
      <c r="A470" s="9" t="n">
        <v>46005</v>
      </c>
      <c r="B470" s="10" t="inlineStr">
        <is>
          <t>PHI @ CAR</t>
        </is>
      </c>
      <c r="C470" s="13" t="n">
        <v>57.42</v>
      </c>
      <c r="D470" s="13" t="n">
        <v>82.58</v>
      </c>
      <c r="E470" s="13">
        <f>IF(OR(C470="",D470=""),"",ABS(C470-D470))</f>
        <v/>
      </c>
      <c r="F470" s="11" t="inlineStr">
        <is>
          <t>CAR</t>
        </is>
      </c>
      <c r="G470" s="12" t="n">
        <v>-250</v>
      </c>
      <c r="H470" s="14">
        <f>IF(OR(F470="",G470="",AND(I470&lt;&gt;"W",I470&lt;&gt;"L")),"",IF(I470="W",IF(G470&gt;0,G470/100,1),IF(G470&lt;0,G470/100,-1)))</f>
        <v/>
      </c>
      <c r="I470" s="11" t="inlineStr">
        <is>
          <t>W</t>
        </is>
      </c>
      <c r="J470" s="10" t="inlineStr">
        <is>
          <t>PHI 2, CAR 3</t>
        </is>
      </c>
      <c r="K470" s="10" t="inlineStr">
        <is>
          <t>DraftKings closing</t>
        </is>
      </c>
    </row>
    <row r="471">
      <c r="A471" s="9" t="n">
        <v>46005</v>
      </c>
      <c r="B471" s="10" t="inlineStr">
        <is>
          <t>BOS @ MIN</t>
        </is>
      </c>
      <c r="C471" s="13" t="n">
        <v>74.45999999999999</v>
      </c>
      <c r="D471" s="13" t="n">
        <v>62.06</v>
      </c>
      <c r="E471" s="13">
        <f>IF(OR(C471="",D471=""),"",ABS(C471-D471))</f>
        <v/>
      </c>
      <c r="F471" s="11" t="inlineStr">
        <is>
          <t>BOS</t>
        </is>
      </c>
      <c r="G471" s="12" t="n">
        <v>110</v>
      </c>
      <c r="H471" s="14">
        <f>IF(OR(F471="",G471="",AND(I471&lt;&gt;"W",I471&lt;&gt;"L")),"",IF(I471="W",IF(G471&gt;0,G471/100,1),IF(G471&lt;0,G471/100,-1)))</f>
        <v/>
      </c>
      <c r="I471" s="11" t="inlineStr">
        <is>
          <t>L</t>
        </is>
      </c>
      <c r="J471" s="10" t="inlineStr">
        <is>
          <t>BOS 2, MIN 6</t>
        </is>
      </c>
      <c r="K471" s="10" t="inlineStr">
        <is>
          <t>DraftKings closing</t>
        </is>
      </c>
    </row>
    <row r="472">
      <c r="A472" s="9" t="n">
        <v>46005</v>
      </c>
      <c r="B472" s="10" t="inlineStr">
        <is>
          <t>EDM @ MTL</t>
        </is>
      </c>
      <c r="C472" s="13" t="n">
        <v>85.90000000000001</v>
      </c>
      <c r="D472" s="13" t="n">
        <v>61.77</v>
      </c>
      <c r="E472" s="13">
        <f>IF(OR(C472="",D472=""),"",ABS(C472-D472))</f>
        <v/>
      </c>
      <c r="F472" s="11" t="inlineStr">
        <is>
          <t>EDM</t>
        </is>
      </c>
      <c r="G472" s="12" t="n">
        <v>-135</v>
      </c>
      <c r="H472" s="14">
        <f>IF(OR(F472="",G472="",AND(I472&lt;&gt;"W",I472&lt;&gt;"L")),"",IF(I472="W",IF(G472&gt;0,G472/100,1),IF(G472&lt;0,G472/100,-1)))</f>
        <v/>
      </c>
      <c r="I472" s="11" t="inlineStr">
        <is>
          <t>L</t>
        </is>
      </c>
      <c r="J472" s="10" t="inlineStr">
        <is>
          <t>EDM 1, MTL 4</t>
        </is>
      </c>
      <c r="K472" s="10" t="inlineStr">
        <is>
          <t>DraftKings closing</t>
        </is>
      </c>
    </row>
    <row r="473">
      <c r="A473" s="9" t="n">
        <v>46005</v>
      </c>
      <c r="B473" s="10" t="inlineStr">
        <is>
          <t>BUF @ SEA</t>
        </is>
      </c>
      <c r="C473" s="13" t="n">
        <v>61.89</v>
      </c>
      <c r="D473" s="13" t="n">
        <v>65.93000000000001</v>
      </c>
      <c r="E473" s="13">
        <f>IF(OR(C473="",D473=""),"",ABS(C473-D473))</f>
        <v/>
      </c>
      <c r="F473" s="11" t="inlineStr">
        <is>
          <t>SEA</t>
        </is>
      </c>
      <c r="G473" s="12" t="n">
        <v>110</v>
      </c>
      <c r="H473" s="14">
        <f>IF(OR(F473="",G473="",AND(I473&lt;&gt;"W",I473&lt;&gt;"L")),"",IF(I473="W",IF(G473&gt;0,G473/100,1),IF(G473&lt;0,G473/100,-1)))</f>
        <v/>
      </c>
      <c r="I473" s="11" t="inlineStr">
        <is>
          <t>L</t>
        </is>
      </c>
      <c r="J473" s="10" t="inlineStr">
        <is>
          <t>BUF 3, SEA 1</t>
        </is>
      </c>
      <c r="K473" s="10" t="inlineStr">
        <is>
          <t>DraftKings closing</t>
        </is>
      </c>
    </row>
    <row r="474">
      <c r="A474" s="9" t="n">
        <v>46006</v>
      </c>
      <c r="B474" s="10" t="inlineStr">
        <is>
          <t>FLA @ TBL</t>
        </is>
      </c>
      <c r="C474" s="13" t="n">
        <v>82.98999999999999</v>
      </c>
      <c r="D474" s="13" t="n">
        <v>79.81999999999999</v>
      </c>
      <c r="E474" s="13">
        <f>IF(OR(C474="",D474=""),"",ABS(C474-D474))</f>
        <v/>
      </c>
      <c r="F474" s="11" t="inlineStr">
        <is>
          <t>FLA</t>
        </is>
      </c>
      <c r="G474" s="12" t="n">
        <v>100</v>
      </c>
      <c r="H474" s="14">
        <f>IF(OR(F474="",G474="",AND(I474&lt;&gt;"W",I474&lt;&gt;"L")),"",IF(I474="W",IF(G474&gt;0,G474/100,1),IF(G474&lt;0,G474/100,-1)))</f>
        <v/>
      </c>
      <c r="I474" s="11" t="inlineStr">
        <is>
          <t>W</t>
        </is>
      </c>
      <c r="J474" s="10" t="inlineStr">
        <is>
          <t>FLA 5, TBL 2</t>
        </is>
      </c>
      <c r="K474" s="10" t="inlineStr">
        <is>
          <t>DraftKings closing</t>
        </is>
      </c>
    </row>
    <row r="475">
      <c r="A475" s="9" t="n">
        <v>46006</v>
      </c>
      <c r="B475" s="10" t="inlineStr">
        <is>
          <t>ANA @ NYR</t>
        </is>
      </c>
      <c r="C475" s="13" t="n">
        <v>64.05</v>
      </c>
      <c r="D475" s="13" t="n">
        <v>78.23</v>
      </c>
      <c r="E475" s="13">
        <f>IF(OR(C475="",D475=""),"",ABS(C475-D475))</f>
        <v/>
      </c>
      <c r="F475" s="11" t="inlineStr">
        <is>
          <t>NYR</t>
        </is>
      </c>
      <c r="G475" s="12" t="n">
        <v>-112</v>
      </c>
      <c r="H475" s="14">
        <f>IF(OR(F475="",G475="",AND(I475&lt;&gt;"W",I475&lt;&gt;"L")),"",IF(I475="W",IF(G475&gt;0,G475/100,1),IF(G475&lt;0,G475/100,-1)))</f>
        <v/>
      </c>
      <c r="I475" s="11" t="inlineStr">
        <is>
          <t>L</t>
        </is>
      </c>
      <c r="J475" s="10" t="inlineStr">
        <is>
          <t>ANA 4, NYR 1</t>
        </is>
      </c>
      <c r="K475" s="10" t="inlineStr">
        <is>
          <t>DraftKings closing</t>
        </is>
      </c>
    </row>
    <row r="476">
      <c r="A476" s="9" t="n">
        <v>46006</v>
      </c>
      <c r="B476" s="10" t="inlineStr">
        <is>
          <t>OTT @ WPG</t>
        </is>
      </c>
      <c r="C476" s="13" t="n">
        <v>77.94</v>
      </c>
      <c r="D476" s="13" t="n">
        <v>89.36</v>
      </c>
      <c r="E476" s="13">
        <f>IF(OR(C476="",D476=""),"",ABS(C476-D476))</f>
        <v/>
      </c>
      <c r="F476" s="11" t="inlineStr">
        <is>
          <t>WPG</t>
        </is>
      </c>
      <c r="G476" s="12" t="n">
        <v>-130</v>
      </c>
      <c r="H476" s="14">
        <f>IF(OR(F476="",G476="",AND(I476&lt;&gt;"W",I476&lt;&gt;"L")),"",IF(I476="W",IF(G476&gt;0,G476/100,1),IF(G476&lt;0,G476/100,-1)))</f>
        <v/>
      </c>
      <c r="I476" s="11" t="inlineStr">
        <is>
          <t>L</t>
        </is>
      </c>
      <c r="J476" s="10" t="inlineStr">
        <is>
          <t>OTT 3, WPG 2</t>
        </is>
      </c>
      <c r="K476" s="10" t="inlineStr">
        <is>
          <t>DraftKings closing</t>
        </is>
      </c>
    </row>
    <row r="477">
      <c r="A477" s="9" t="n">
        <v>46006</v>
      </c>
      <c r="B477" s="10" t="inlineStr">
        <is>
          <t>NSH @ STL</t>
        </is>
      </c>
      <c r="C477" s="13" t="n">
        <v>59.63</v>
      </c>
      <c r="D477" s="13" t="n">
        <v>74.81</v>
      </c>
      <c r="E477" s="13">
        <f>IF(OR(C477="",D477=""),"",ABS(C477-D477))</f>
        <v/>
      </c>
      <c r="F477" s="11" t="inlineStr">
        <is>
          <t>STL</t>
        </is>
      </c>
      <c r="G477" s="12" t="n">
        <v>-110</v>
      </c>
      <c r="H477" s="14">
        <f>IF(OR(F477="",G477="",AND(I477&lt;&gt;"W",I477&lt;&gt;"L")),"",IF(I477="W",IF(G477&gt;0,G477/100,1),IF(G477&lt;0,G477/100,-1)))</f>
        <v/>
      </c>
      <c r="I477" s="11" t="inlineStr">
        <is>
          <t>L</t>
        </is>
      </c>
      <c r="J477" s="10" t="inlineStr">
        <is>
          <t>NSH 5, STL 2</t>
        </is>
      </c>
      <c r="K477" s="10" t="inlineStr">
        <is>
          <t>DraftKings closing</t>
        </is>
      </c>
    </row>
    <row r="478">
      <c r="A478" s="9" t="n">
        <v>46006</v>
      </c>
      <c r="B478" s="10" t="inlineStr">
        <is>
          <t>LAK @ DAL</t>
        </is>
      </c>
      <c r="C478" s="13" t="n">
        <v>66.31999999999999</v>
      </c>
      <c r="D478" s="13" t="n">
        <v>57.01</v>
      </c>
      <c r="E478" s="13">
        <f>IF(OR(C478="",D478=""),"",ABS(C478-D478))</f>
        <v/>
      </c>
      <c r="F478" s="11" t="inlineStr">
        <is>
          <t>LAK</t>
        </is>
      </c>
      <c r="G478" s="12" t="n">
        <v>114</v>
      </c>
      <c r="H478" s="14">
        <f>IF(OR(F478="",G478="",AND(I478&lt;&gt;"W",I478&lt;&gt;"L")),"",IF(I478="W",IF(G478&gt;0,G478/100,1),IF(G478&lt;0,G478/100,-1)))</f>
        <v/>
      </c>
      <c r="I478" s="11" t="inlineStr">
        <is>
          <t>L</t>
        </is>
      </c>
      <c r="J478" s="10" t="inlineStr">
        <is>
          <t>LAK 1, DAL 4</t>
        </is>
      </c>
      <c r="K478" s="10" t="inlineStr">
        <is>
          <t>DraftKings closing</t>
        </is>
      </c>
    </row>
    <row r="479">
      <c r="A479" s="9" t="n">
        <v>46007</v>
      </c>
      <c r="B479" s="10" t="inlineStr">
        <is>
          <t>UTA @ BOS</t>
        </is>
      </c>
      <c r="C479" s="13" t="n">
        <v>83.40000000000001</v>
      </c>
      <c r="D479" s="13" t="n">
        <v>57.02</v>
      </c>
      <c r="E479" s="13">
        <f>IF(OR(C479="",D479=""),"",ABS(C479-D479))</f>
        <v/>
      </c>
      <c r="F479" s="11" t="inlineStr">
        <is>
          <t>UTA</t>
        </is>
      </c>
      <c r="G479" s="12" t="n">
        <v>-108</v>
      </c>
      <c r="H479" s="14">
        <f>IF(OR(F479="",G479="",AND(I479&lt;&gt;"W",I479&lt;&gt;"L")),"",IF(I479="W",IF(G479&gt;0,G479/100,1),IF(G479&lt;0,G479/100,-1)))</f>
        <v/>
      </c>
      <c r="I479" s="11" t="inlineStr">
        <is>
          <t>L</t>
        </is>
      </c>
      <c r="J479" s="10" t="inlineStr">
        <is>
          <t>UTA 1, BOS 4</t>
        </is>
      </c>
      <c r="K479" s="10" t="inlineStr">
        <is>
          <t>DraftKings closing</t>
        </is>
      </c>
    </row>
    <row r="480">
      <c r="A480" s="9" t="n">
        <v>46007</v>
      </c>
      <c r="B480" s="10" t="inlineStr">
        <is>
          <t>CHI @ TOR</t>
        </is>
      </c>
      <c r="C480" s="13" t="n">
        <v>63.79</v>
      </c>
      <c r="D480" s="13" t="n">
        <v>54.1</v>
      </c>
      <c r="E480" s="13">
        <f>IF(OR(C480="",D480=""),"",ABS(C480-D480))</f>
        <v/>
      </c>
      <c r="F480" s="11" t="inlineStr">
        <is>
          <t>CHI</t>
        </is>
      </c>
      <c r="G480" s="12" t="n">
        <v>170</v>
      </c>
      <c r="H480" s="14">
        <f>IF(OR(F480="",G480="",AND(I480&lt;&gt;"W",I480&lt;&gt;"L")),"",IF(I480="W",IF(G480&gt;0,G480/100,1),IF(G480&lt;0,G480/100,-1)))</f>
        <v/>
      </c>
      <c r="I480" s="11" t="inlineStr">
        <is>
          <t>L</t>
        </is>
      </c>
      <c r="J480" s="10" t="inlineStr">
        <is>
          <t>CHI 2, TOR 3</t>
        </is>
      </c>
      <c r="K480" s="10" t="inlineStr">
        <is>
          <t>DraftKings closing</t>
        </is>
      </c>
    </row>
    <row r="481">
      <c r="A481" s="9" t="n">
        <v>46007</v>
      </c>
      <c r="B481" s="10" t="inlineStr">
        <is>
          <t>PHI @ MTL</t>
        </is>
      </c>
      <c r="C481" s="13" t="n">
        <v>59.68</v>
      </c>
      <c r="D481" s="13" t="n">
        <v>79.95</v>
      </c>
      <c r="E481" s="13">
        <f>IF(OR(C481="",D481=""),"",ABS(C481-D481))</f>
        <v/>
      </c>
      <c r="F481" s="11" t="inlineStr">
        <is>
          <t>MTL</t>
        </is>
      </c>
      <c r="G481" s="12" t="n">
        <v>-120</v>
      </c>
      <c r="H481" s="14">
        <f>IF(OR(F481="",G481="",AND(I481&lt;&gt;"W",I481&lt;&gt;"L")),"",IF(I481="W",IF(G481&gt;0,G481/100,1),IF(G481&lt;0,G481/100,-1)))</f>
        <v/>
      </c>
      <c r="I481" s="11" t="inlineStr">
        <is>
          <t>L</t>
        </is>
      </c>
      <c r="J481" s="10" t="inlineStr">
        <is>
          <t>PHI 4, MTL 1</t>
        </is>
      </c>
      <c r="K481" s="10" t="inlineStr">
        <is>
          <t>DraftKings closing</t>
        </is>
      </c>
    </row>
    <row r="482">
      <c r="A482" s="9" t="n">
        <v>46007</v>
      </c>
      <c r="B482" s="10" t="inlineStr">
        <is>
          <t>NYI @ DET</t>
        </is>
      </c>
      <c r="C482" s="13" t="n">
        <v>60.18</v>
      </c>
      <c r="D482" s="13" t="n">
        <v>76.20999999999999</v>
      </c>
      <c r="E482" s="13">
        <f>IF(OR(C482="",D482=""),"",ABS(C482-D482))</f>
        <v/>
      </c>
      <c r="F482" s="11" t="inlineStr">
        <is>
          <t>DET</t>
        </is>
      </c>
      <c r="G482" s="12" t="n">
        <v>-125</v>
      </c>
      <c r="H482" s="14">
        <f>IF(OR(F482="",G482="",AND(I482&lt;&gt;"W",I482&lt;&gt;"L")),"",IF(I482="W",IF(G482&gt;0,G482/100,1),IF(G482&lt;0,G482/100,-1)))</f>
        <v/>
      </c>
      <c r="I482" s="11" t="inlineStr">
        <is>
          <t>W</t>
        </is>
      </c>
      <c r="J482" s="10" t="inlineStr">
        <is>
          <t>NYI 2, DET 3</t>
        </is>
      </c>
      <c r="K482" s="10" t="inlineStr">
        <is>
          <t>DraftKings closing</t>
        </is>
      </c>
    </row>
    <row r="483">
      <c r="A483" s="9" t="n">
        <v>46007</v>
      </c>
      <c r="B483" s="10" t="inlineStr">
        <is>
          <t>VAN @ NYR</t>
        </is>
      </c>
      <c r="C483" s="13" t="n">
        <v>69.47</v>
      </c>
      <c r="D483" s="13" t="n">
        <v>67.92</v>
      </c>
      <c r="E483" s="13">
        <f>IF(OR(C483="",D483=""),"",ABS(C483-D483))</f>
        <v/>
      </c>
      <c r="F483" s="11" t="inlineStr">
        <is>
          <t>VAN</t>
        </is>
      </c>
      <c r="G483" s="12" t="n">
        <v>102</v>
      </c>
      <c r="H483" s="14">
        <f>IF(OR(F483="",G483="",AND(I483&lt;&gt;"W",I483&lt;&gt;"L")),"",IF(I483="W",IF(G483&gt;0,G483/100,1),IF(G483&lt;0,G483/100,-1)))</f>
        <v/>
      </c>
      <c r="I483" s="11" t="inlineStr">
        <is>
          <t>W</t>
        </is>
      </c>
      <c r="J483" s="10" t="inlineStr">
        <is>
          <t>VAN 3, NYR 0</t>
        </is>
      </c>
      <c r="K483" s="10" t="inlineStr">
        <is>
          <t>DraftKings closing</t>
        </is>
      </c>
    </row>
    <row r="484">
      <c r="A484" s="9" t="n">
        <v>46007</v>
      </c>
      <c r="B484" s="10" t="inlineStr">
        <is>
          <t>ANA @ CBJ</t>
        </is>
      </c>
      <c r="C484" s="13" t="n">
        <v>72.08</v>
      </c>
      <c r="D484" s="13" t="n">
        <v>65.73999999999999</v>
      </c>
      <c r="E484" s="13">
        <f>IF(OR(C484="",D484=""),"",ABS(C484-D484))</f>
        <v/>
      </c>
      <c r="F484" s="11" t="inlineStr">
        <is>
          <t>ANA</t>
        </is>
      </c>
      <c r="G484" s="12" t="n">
        <v>120</v>
      </c>
      <c r="H484" s="14">
        <f>IF(OR(F484="",G484="",AND(I484&lt;&gt;"W",I484&lt;&gt;"L")),"",IF(I484="W",IF(G484&gt;0,G484/100,1),IF(G484&lt;0,G484/100,-1)))</f>
        <v/>
      </c>
      <c r="I484" s="11" t="inlineStr">
        <is>
          <t>L</t>
        </is>
      </c>
      <c r="J484" s="10" t="inlineStr">
        <is>
          <t>ANA 3, CBJ 4</t>
        </is>
      </c>
      <c r="K484" s="10" t="inlineStr">
        <is>
          <t>DraftKings closing</t>
        </is>
      </c>
    </row>
    <row r="485">
      <c r="A485" s="9" t="n">
        <v>46007</v>
      </c>
      <c r="B485" s="10" t="inlineStr">
        <is>
          <t>EDM @ PIT</t>
        </is>
      </c>
      <c r="C485" s="13" t="n">
        <v>60.05</v>
      </c>
      <c r="D485" s="13" t="n">
        <v>56.6</v>
      </c>
      <c r="E485" s="13">
        <f>IF(OR(C485="",D485=""),"",ABS(C485-D485))</f>
        <v/>
      </c>
      <c r="F485" s="11" t="inlineStr">
        <is>
          <t>EDM</t>
        </is>
      </c>
      <c r="G485" s="12" t="n">
        <v>-142</v>
      </c>
      <c r="H485" s="14">
        <f>IF(OR(F485="",G485="",AND(I485&lt;&gt;"W",I485&lt;&gt;"L")),"",IF(I485="W",IF(G485&gt;0,G485/100,1),IF(G485&lt;0,G485/100,-1)))</f>
        <v/>
      </c>
      <c r="I485" s="11" t="inlineStr">
        <is>
          <t>W</t>
        </is>
      </c>
      <c r="J485" s="10" t="inlineStr">
        <is>
          <t>EDM 6, PIT 4</t>
        </is>
      </c>
      <c r="K485" s="10" t="inlineStr">
        <is>
          <t>DraftKings closing</t>
        </is>
      </c>
    </row>
    <row r="486">
      <c r="A486" s="9" t="n">
        <v>46007</v>
      </c>
      <c r="B486" s="10" t="inlineStr">
        <is>
          <t>WSH @ MIN</t>
        </is>
      </c>
      <c r="C486" s="13" t="n">
        <v>50.64</v>
      </c>
      <c r="D486" s="13" t="n">
        <v>82.98</v>
      </c>
      <c r="E486" s="13">
        <f>IF(OR(C486="",D486=""),"",ABS(C486-D486))</f>
        <v/>
      </c>
      <c r="F486" s="11" t="inlineStr">
        <is>
          <t>MIN</t>
        </is>
      </c>
      <c r="G486" s="12" t="n">
        <v>-115</v>
      </c>
      <c r="H486" s="14">
        <f>IF(OR(F486="",G486="",AND(I486&lt;&gt;"W",I486&lt;&gt;"L")),"",IF(I486="W",IF(G486&gt;0,G486/100,1),IF(G486&lt;0,G486/100,-1)))</f>
        <v/>
      </c>
      <c r="I486" s="11" t="inlineStr">
        <is>
          <t>W</t>
        </is>
      </c>
      <c r="J486" s="10" t="inlineStr">
        <is>
          <t>WSH 0, MIN 5</t>
        </is>
      </c>
      <c r="K486" s="10" t="inlineStr">
        <is>
          <t>DraftKings closing</t>
        </is>
      </c>
    </row>
    <row r="487">
      <c r="A487" s="9" t="n">
        <v>46007</v>
      </c>
      <c r="B487" s="10" t="inlineStr">
        <is>
          <t>CGY @ SJS</t>
        </is>
      </c>
      <c r="C487" s="13" t="n">
        <v>73.68000000000001</v>
      </c>
      <c r="D487" s="13" t="n">
        <v>72.23999999999999</v>
      </c>
      <c r="E487" s="13">
        <f>IF(OR(C487="",D487=""),"",ABS(C487-D487))</f>
        <v/>
      </c>
      <c r="F487" s="11" t="inlineStr">
        <is>
          <t>CGY</t>
        </is>
      </c>
      <c r="G487" s="12" t="n">
        <v>-155</v>
      </c>
      <c r="H487" s="14">
        <f>IF(OR(F487="",G487="",AND(I487&lt;&gt;"W",I487&lt;&gt;"L")),"",IF(I487="W",IF(G487&gt;0,G487/100,1),IF(G487&lt;0,G487/100,-1)))</f>
        <v/>
      </c>
      <c r="I487" s="11" t="inlineStr">
        <is>
          <t>L</t>
        </is>
      </c>
      <c r="J487" s="10" t="inlineStr">
        <is>
          <t>CGY 3, SJS 6</t>
        </is>
      </c>
      <c r="K487" s="10" t="inlineStr">
        <is>
          <t>DraftKings closing</t>
        </is>
      </c>
    </row>
    <row r="488">
      <c r="A488" s="9" t="n">
        <v>46007</v>
      </c>
      <c r="B488" s="10" t="inlineStr">
        <is>
          <t>COL @ SEA</t>
        </is>
      </c>
      <c r="C488" s="13" t="n">
        <v>80.37</v>
      </c>
      <c r="D488" s="13" t="n">
        <v>69.20999999999999</v>
      </c>
      <c r="E488" s="13">
        <f>IF(OR(C488="",D488=""),"",ABS(C488-D488))</f>
        <v/>
      </c>
      <c r="F488" s="11" t="inlineStr">
        <is>
          <t>COL</t>
        </is>
      </c>
      <c r="G488" s="12" t="n">
        <v>-325</v>
      </c>
      <c r="H488" s="14">
        <f>IF(OR(F488="",G488="",AND(I488&lt;&gt;"W",I488&lt;&gt;"L")),"",IF(I488="W",IF(G488&gt;0,G488/100,1),IF(G488&lt;0,G488/100,-1)))</f>
        <v/>
      </c>
      <c r="I488" s="11" t="inlineStr">
        <is>
          <t>W</t>
        </is>
      </c>
      <c r="J488" s="10" t="inlineStr">
        <is>
          <t>COL 5, SEA 3</t>
        </is>
      </c>
      <c r="K488" s="10" t="inlineStr">
        <is>
          <t>DraftKings closing</t>
        </is>
      </c>
    </row>
    <row r="489">
      <c r="A489" s="9" t="n">
        <v>46008</v>
      </c>
      <c r="B489" s="10" t="inlineStr">
        <is>
          <t>LAK @ FLA</t>
        </is>
      </c>
      <c r="C489" s="13" t="n">
        <v>64.84</v>
      </c>
      <c r="D489" s="13" t="n">
        <v>72.48999999999999</v>
      </c>
      <c r="E489" s="13">
        <f>IF(OR(C489="",D489=""),"",ABS(C489-D489))</f>
        <v/>
      </c>
      <c r="F489" s="11" t="inlineStr">
        <is>
          <t>FLA</t>
        </is>
      </c>
      <c r="G489" s="12" t="n">
        <v>-148</v>
      </c>
      <c r="H489" s="14">
        <f>IF(OR(F489="",G489="",AND(I489&lt;&gt;"W",I489&lt;&gt;"L")),"",IF(I489="W",IF(G489&gt;0,G489/100,1),IF(G489&lt;0,G489/100,-1)))</f>
        <v/>
      </c>
      <c r="I489" s="11" t="inlineStr">
        <is>
          <t>W</t>
        </is>
      </c>
      <c r="J489" s="10" t="inlineStr">
        <is>
          <t>LAK 2, FLA 3</t>
        </is>
      </c>
      <c r="K489" s="10" t="inlineStr">
        <is>
          <t>DraftKings closing</t>
        </is>
      </c>
    </row>
    <row r="490">
      <c r="A490" s="9" t="n">
        <v>46008</v>
      </c>
      <c r="B490" s="10" t="inlineStr">
        <is>
          <t>UTA @ DET</t>
        </is>
      </c>
      <c r="C490" s="13" t="n">
        <v>64.22</v>
      </c>
      <c r="D490" s="13" t="n">
        <v>77.62</v>
      </c>
      <c r="E490" s="13">
        <f>IF(OR(C490="",D490=""),"",ABS(C490-D490))</f>
        <v/>
      </c>
      <c r="F490" s="11" t="inlineStr">
        <is>
          <t>DET</t>
        </is>
      </c>
      <c r="G490" s="12" t="n">
        <v>-120</v>
      </c>
      <c r="H490" s="14">
        <f>IF(OR(F490="",G490="",AND(I490&lt;&gt;"W",I490&lt;&gt;"L")),"",IF(I490="W",IF(G490&gt;0,G490/100,1),IF(G490&lt;0,G490/100,-1)))</f>
        <v/>
      </c>
      <c r="I490" s="11" t="inlineStr">
        <is>
          <t>L</t>
        </is>
      </c>
      <c r="J490" s="10" t="inlineStr">
        <is>
          <t>UTA 4, DET 1</t>
        </is>
      </c>
      <c r="K490" s="10" t="inlineStr">
        <is>
          <t>DraftKings closing</t>
        </is>
      </c>
    </row>
    <row r="491">
      <c r="A491" s="9" t="n">
        <v>46008</v>
      </c>
      <c r="B491" s="10" t="inlineStr">
        <is>
          <t>WPG @ STL</t>
        </is>
      </c>
      <c r="C491" s="13" t="n">
        <v>68.29000000000001</v>
      </c>
      <c r="D491" s="13" t="n">
        <v>59.19</v>
      </c>
      <c r="E491" s="13">
        <f>IF(OR(C491="",D491=""),"",ABS(C491-D491))</f>
        <v/>
      </c>
      <c r="F491" s="11" t="inlineStr">
        <is>
          <t>WPG</t>
        </is>
      </c>
      <c r="G491" s="12" t="n">
        <v>-155</v>
      </c>
      <c r="H491" s="14">
        <f>IF(OR(F491="",G491="",AND(I491&lt;&gt;"W",I491&lt;&gt;"L")),"",IF(I491="W",IF(G491&gt;0,G491/100,1),IF(G491&lt;0,G491/100,-1)))</f>
        <v/>
      </c>
      <c r="I491" s="11" t="inlineStr">
        <is>
          <t>L</t>
        </is>
      </c>
      <c r="J491" s="10" t="inlineStr">
        <is>
          <t>WPG 0, STL 1</t>
        </is>
      </c>
      <c r="K491" s="10" t="inlineStr">
        <is>
          <t>DraftKings closing</t>
        </is>
      </c>
    </row>
    <row r="492">
      <c r="A492" s="9" t="n">
        <v>46008</v>
      </c>
      <c r="B492" s="10" t="inlineStr">
        <is>
          <t>CAR @ NSH</t>
        </is>
      </c>
      <c r="C492" s="13" t="n">
        <v>80.31999999999999</v>
      </c>
      <c r="D492" s="13" t="n">
        <v>80.81</v>
      </c>
      <c r="E492" s="13">
        <f>IF(OR(C492="",D492=""),"",ABS(C492-D492))</f>
        <v/>
      </c>
      <c r="F492" s="11" t="inlineStr">
        <is>
          <t>NSH</t>
        </is>
      </c>
      <c r="G492" s="12" t="n">
        <v>150</v>
      </c>
      <c r="H492" s="14">
        <f>IF(OR(F492="",G492="",AND(I492&lt;&gt;"W",I492&lt;&gt;"L")),"",IF(I492="W",IF(G492&gt;0,G492/100,1),IF(G492&lt;0,G492/100,-1)))</f>
        <v/>
      </c>
      <c r="I492" s="11" t="inlineStr">
        <is>
          <t>L</t>
        </is>
      </c>
      <c r="J492" s="10" t="inlineStr">
        <is>
          <t>CAR 4, NSH 1</t>
        </is>
      </c>
      <c r="K492" s="10" t="inlineStr">
        <is>
          <t>DraftKings closing</t>
        </is>
      </c>
    </row>
    <row r="493">
      <c r="A493" s="9" t="n">
        <v>46008</v>
      </c>
      <c r="B493" s="10" t="inlineStr">
        <is>
          <t>NJD @ VGK</t>
        </is>
      </c>
      <c r="C493" s="13" t="n">
        <v>70.53</v>
      </c>
      <c r="D493" s="13" t="n">
        <v>74.26000000000001</v>
      </c>
      <c r="E493" s="13">
        <f>IF(OR(C493="",D493=""),"",ABS(C493-D493))</f>
        <v/>
      </c>
      <c r="F493" s="11" t="inlineStr">
        <is>
          <t>VGK</t>
        </is>
      </c>
      <c r="G493" s="12" t="n">
        <v>-166</v>
      </c>
      <c r="H493" s="14">
        <f>IF(OR(F493="",G493="",AND(I493&lt;&gt;"W",I493&lt;&gt;"L")),"",IF(I493="W",IF(G493&gt;0,G493/100,1),IF(G493&lt;0,G493/100,-1)))</f>
        <v/>
      </c>
      <c r="I493" s="11" t="inlineStr">
        <is>
          <t>L</t>
        </is>
      </c>
      <c r="J493" s="10" t="inlineStr">
        <is>
          <t>NJD 2, VGK 1</t>
        </is>
      </c>
      <c r="K493" s="10" t="inlineStr">
        <is>
          <t>DraftKings closing</t>
        </is>
      </c>
    </row>
    <row r="494">
      <c r="A494" s="9" t="n">
        <v>46009</v>
      </c>
      <c r="B494" s="10" t="inlineStr">
        <is>
          <t>EDM @ BOS</t>
        </is>
      </c>
      <c r="C494" s="13" t="n">
        <v>75.81</v>
      </c>
      <c r="D494" s="13" t="n">
        <v>75.78</v>
      </c>
      <c r="E494" s="13">
        <f>IF(OR(C494="",D494=""),"",ABS(C494-D494))</f>
        <v/>
      </c>
      <c r="F494" s="11" t="inlineStr">
        <is>
          <t>EDM</t>
        </is>
      </c>
      <c r="G494" s="12" t="n">
        <v>-135</v>
      </c>
      <c r="H494" s="14">
        <f>IF(OR(F494="",G494="",AND(I494&lt;&gt;"W",I494&lt;&gt;"L")),"",IF(I494="W",IF(G494&gt;0,G494/100,1),IF(G494&lt;0,G494/100,-1)))</f>
        <v/>
      </c>
      <c r="I494" s="11" t="inlineStr">
        <is>
          <t>W</t>
        </is>
      </c>
      <c r="J494" s="10" t="inlineStr">
        <is>
          <t>EDM 3, BOS 1</t>
        </is>
      </c>
      <c r="K494" s="10" t="inlineStr">
        <is>
          <t>DraftKings closing</t>
        </is>
      </c>
    </row>
    <row r="495">
      <c r="A495" s="9" t="n">
        <v>46009</v>
      </c>
      <c r="B495" s="10" t="inlineStr">
        <is>
          <t>CHI @ MTL</t>
        </is>
      </c>
      <c r="C495" s="13" t="n">
        <v>66.37</v>
      </c>
      <c r="D495" s="13" t="n">
        <v>69.47</v>
      </c>
      <c r="E495" s="13">
        <f>IF(OR(C495="",D495=""),"",ABS(C495-D495))</f>
        <v/>
      </c>
      <c r="F495" s="11" t="inlineStr">
        <is>
          <t>MTL</t>
        </is>
      </c>
      <c r="G495" s="12" t="n">
        <v>-175</v>
      </c>
      <c r="H495" s="14">
        <f>IF(OR(F495="",G495="",AND(I495&lt;&gt;"W",I495&lt;&gt;"L")),"",IF(I495="W",IF(G495&gt;0,G495/100,1),IF(G495&lt;0,G495/100,-1)))</f>
        <v/>
      </c>
      <c r="I495" s="11" t="inlineStr">
        <is>
          <t>W</t>
        </is>
      </c>
      <c r="J495" s="10" t="inlineStr">
        <is>
          <t>CHI 1, MTL 4</t>
        </is>
      </c>
      <c r="K495" s="10" t="inlineStr">
        <is>
          <t>DraftKings closing</t>
        </is>
      </c>
    </row>
    <row r="496">
      <c r="A496" s="9" t="n">
        <v>46009</v>
      </c>
      <c r="B496" s="10" t="inlineStr">
        <is>
          <t>PIT @ OTT</t>
        </is>
      </c>
      <c r="C496" s="13" t="n">
        <v>64.19</v>
      </c>
      <c r="D496" s="13" t="n">
        <v>71.70999999999999</v>
      </c>
      <c r="E496" s="13">
        <f>IF(OR(C496="",D496=""),"",ABS(C496-D496))</f>
        <v/>
      </c>
      <c r="F496" s="11" t="inlineStr">
        <is>
          <t>OTT</t>
        </is>
      </c>
      <c r="G496" s="12" t="n">
        <v>-170</v>
      </c>
      <c r="H496" s="14">
        <f>IF(OR(F496="",G496="",AND(I496&lt;&gt;"W",I496&lt;&gt;"L")),"",IF(I496="W",IF(G496&gt;0,G496/100,1),IF(G496&lt;0,G496/100,-1)))</f>
        <v/>
      </c>
      <c r="I496" s="11" t="inlineStr">
        <is>
          <t>W</t>
        </is>
      </c>
      <c r="J496" s="10" t="inlineStr">
        <is>
          <t>PIT 0, OTT 4</t>
        </is>
      </c>
      <c r="K496" s="10" t="inlineStr">
        <is>
          <t>DraftKings closing</t>
        </is>
      </c>
    </row>
    <row r="497">
      <c r="A497" s="9" t="n">
        <v>46009</v>
      </c>
      <c r="B497" s="10" t="inlineStr">
        <is>
          <t>LAK @ TBL</t>
        </is>
      </c>
      <c r="C497" s="13" t="n">
        <v>69.84999999999999</v>
      </c>
      <c r="D497" s="13" t="n">
        <v>67.51000000000001</v>
      </c>
      <c r="E497" s="13">
        <f>IF(OR(C497="",D497=""),"",ABS(C497-D497))</f>
        <v/>
      </c>
      <c r="F497" s="11" t="inlineStr">
        <is>
          <t>LAK</t>
        </is>
      </c>
      <c r="G497" s="12" t="n">
        <v>190</v>
      </c>
      <c r="H497" s="14">
        <f>IF(OR(F497="",G497="",AND(I497&lt;&gt;"W",I497&lt;&gt;"L")),"",IF(I497="W",IF(G497&gt;0,G497/100,1),IF(G497&lt;0,G497/100,-1)))</f>
        <v/>
      </c>
      <c r="I497" s="11" t="inlineStr">
        <is>
          <t>W</t>
        </is>
      </c>
      <c r="J497" s="10" t="inlineStr">
        <is>
          <t>LAK 2, TBL 1</t>
        </is>
      </c>
      <c r="K497" s="10" t="inlineStr">
        <is>
          <t>DraftKings closing</t>
        </is>
      </c>
    </row>
    <row r="498">
      <c r="A498" s="9" t="n">
        <v>46009</v>
      </c>
      <c r="B498" s="10" t="inlineStr">
        <is>
          <t>TOR @ WSH</t>
        </is>
      </c>
      <c r="C498" s="13" t="n">
        <v>73.63</v>
      </c>
      <c r="D498" s="13" t="n">
        <v>58.31</v>
      </c>
      <c r="E498" s="13">
        <f>IF(OR(C498="",D498=""),"",ABS(C498-D498))</f>
        <v/>
      </c>
      <c r="F498" s="11" t="inlineStr">
        <is>
          <t>TOR</t>
        </is>
      </c>
      <c r="G498" s="12" t="n">
        <v>130</v>
      </c>
      <c r="H498" s="14">
        <f>IF(OR(F498="",G498="",AND(I498&lt;&gt;"W",I498&lt;&gt;"L")),"",IF(I498="W",IF(G498&gt;0,G498/100,1),IF(G498&lt;0,G498/100,-1)))</f>
        <v/>
      </c>
      <c r="I498" s="11" t="inlineStr">
        <is>
          <t>L</t>
        </is>
      </c>
      <c r="J498" s="10" t="inlineStr">
        <is>
          <t>TOR 0, WSH 4</t>
        </is>
      </c>
      <c r="K498" s="10" t="inlineStr">
        <is>
          <t>DraftKings closing</t>
        </is>
      </c>
    </row>
    <row r="499">
      <c r="A499" s="9" t="n">
        <v>46009</v>
      </c>
      <c r="B499" s="10" t="inlineStr">
        <is>
          <t>MIN @ CBJ</t>
        </is>
      </c>
      <c r="C499" s="13" t="n">
        <v>81.69</v>
      </c>
      <c r="D499" s="13" t="n">
        <v>73.70999999999999</v>
      </c>
      <c r="E499" s="13">
        <f>IF(OR(C499="",D499=""),"",ABS(C499-D499))</f>
        <v/>
      </c>
      <c r="F499" s="11" t="inlineStr">
        <is>
          <t>MIN</t>
        </is>
      </c>
      <c r="G499" s="12" t="n">
        <v>-112</v>
      </c>
      <c r="H499" s="14">
        <f>IF(OR(F499="",G499="",AND(I499&lt;&gt;"W",I499&lt;&gt;"L")),"",IF(I499="W",IF(G499&gt;0,G499/100,1),IF(G499&lt;0,G499/100,-1)))</f>
        <v/>
      </c>
      <c r="I499" s="11" t="inlineStr">
        <is>
          <t>W</t>
        </is>
      </c>
      <c r="J499" s="10" t="inlineStr">
        <is>
          <t>MIN 5, CBJ 2</t>
        </is>
      </c>
      <c r="K499" s="10" t="inlineStr">
        <is>
          <t>DraftKings closing</t>
        </is>
      </c>
    </row>
    <row r="500">
      <c r="A500" s="9" t="n">
        <v>46009</v>
      </c>
      <c r="B500" s="10" t="inlineStr">
        <is>
          <t>PHI @ BUF</t>
        </is>
      </c>
      <c r="C500" s="13" t="n">
        <v>70.53</v>
      </c>
      <c r="D500" s="13" t="n">
        <v>70.79000000000001</v>
      </c>
      <c r="E500" s="13">
        <f>IF(OR(C500="",D500=""),"",ABS(C500-D500))</f>
        <v/>
      </c>
      <c r="F500" s="11" t="inlineStr">
        <is>
          <t>BUF</t>
        </is>
      </c>
      <c r="G500" s="12" t="n">
        <v>-155</v>
      </c>
      <c r="H500" s="14">
        <f>IF(OR(F500="",G500="",AND(I500&lt;&gt;"W",I500&lt;&gt;"L")),"",IF(I500="W",IF(G500&gt;0,G500/100,1),IF(G500&lt;0,G500/100,-1)))</f>
        <v/>
      </c>
      <c r="I500" s="11" t="inlineStr">
        <is>
          <t>W</t>
        </is>
      </c>
      <c r="J500" s="10" t="inlineStr">
        <is>
          <t>PHI 3, BUF 5</t>
        </is>
      </c>
      <c r="K500" s="10" t="inlineStr">
        <is>
          <t>DraftKings closing</t>
        </is>
      </c>
    </row>
    <row r="501">
      <c r="A501" s="9" t="n">
        <v>46009</v>
      </c>
      <c r="B501" s="10" t="inlineStr">
        <is>
          <t>NYR @ STL</t>
        </is>
      </c>
      <c r="C501" s="13" t="n">
        <v>67.47</v>
      </c>
      <c r="D501" s="13" t="n">
        <v>73.31999999999999</v>
      </c>
      <c r="E501" s="13">
        <f>IF(OR(C501="",D501=""),"",ABS(C501-D501))</f>
        <v/>
      </c>
      <c r="F501" s="11" t="inlineStr">
        <is>
          <t>STL</t>
        </is>
      </c>
      <c r="G501" s="12" t="n">
        <v>120</v>
      </c>
      <c r="H501" s="14">
        <f>IF(OR(F501="",G501="",AND(I501&lt;&gt;"W",I501&lt;&gt;"L")),"",IF(I501="W",IF(G501&gt;0,G501/100,1),IF(G501&lt;0,G501/100,-1)))</f>
        <v/>
      </c>
      <c r="I501" s="11" t="inlineStr">
        <is>
          <t>L</t>
        </is>
      </c>
      <c r="J501" s="10" t="inlineStr">
        <is>
          <t>NYR 2, STL 1</t>
        </is>
      </c>
      <c r="K501" s="10" t="inlineStr">
        <is>
          <t>DraftKings closing</t>
        </is>
      </c>
    </row>
    <row r="502">
      <c r="A502" s="9" t="n">
        <v>46009</v>
      </c>
      <c r="B502" s="10" t="inlineStr">
        <is>
          <t>SEA @ CGY</t>
        </is>
      </c>
      <c r="C502" s="13" t="n">
        <v>68.11</v>
      </c>
      <c r="D502" s="13" t="n">
        <v>61.49</v>
      </c>
      <c r="E502" s="13">
        <f>IF(OR(C502="",D502=""),"",ABS(C502-D502))</f>
        <v/>
      </c>
      <c r="F502" s="11" t="inlineStr">
        <is>
          <t>SEA</t>
        </is>
      </c>
      <c r="G502" s="12" t="n">
        <v>145</v>
      </c>
      <c r="H502" s="14">
        <f>IF(OR(F502="",G502="",AND(I502&lt;&gt;"W",I502&lt;&gt;"L")),"",IF(I502="W",IF(G502&gt;0,G502/100,1),IF(G502&lt;0,G502/100,-1)))</f>
        <v/>
      </c>
      <c r="I502" s="11" t="inlineStr">
        <is>
          <t>L</t>
        </is>
      </c>
      <c r="J502" s="10" t="inlineStr">
        <is>
          <t>SEA 2, CGY 4</t>
        </is>
      </c>
      <c r="K502" s="10" t="inlineStr">
        <is>
          <t>DraftKings closing</t>
        </is>
      </c>
    </row>
    <row r="503">
      <c r="A503" s="9" t="n">
        <v>46009</v>
      </c>
      <c r="B503" s="10" t="inlineStr">
        <is>
          <t>DAL @ SJS</t>
        </is>
      </c>
      <c r="C503" s="13" t="n">
        <v>75.16</v>
      </c>
      <c r="D503" s="13" t="n">
        <v>78.51000000000001</v>
      </c>
      <c r="E503" s="13">
        <f>IF(OR(C503="",D503=""),"",ABS(C503-D503))</f>
        <v/>
      </c>
      <c r="F503" s="11" t="inlineStr">
        <is>
          <t>SJS</t>
        </is>
      </c>
      <c r="G503" s="12" t="n">
        <v>164</v>
      </c>
      <c r="H503" s="14">
        <f>IF(OR(F503="",G503="",AND(I503&lt;&gt;"W",I503&lt;&gt;"L")),"",IF(I503="W",IF(G503&gt;0,G503/100,1),IF(G503&lt;0,G503/100,-1)))</f>
        <v/>
      </c>
      <c r="I503" s="11" t="inlineStr">
        <is>
          <t>L</t>
        </is>
      </c>
      <c r="J503" s="10" t="inlineStr">
        <is>
          <t>DAL 5, SJS 3</t>
        </is>
      </c>
      <c r="K503" s="10" t="inlineStr">
        <is>
          <t>DraftKings closing</t>
        </is>
      </c>
    </row>
    <row r="504">
      <c r="A504" s="9" t="n">
        <v>46010</v>
      </c>
      <c r="B504" s="10" t="inlineStr">
        <is>
          <t>CAR @ FLA</t>
        </is>
      </c>
      <c r="C504" s="13" t="n">
        <v>84.67</v>
      </c>
      <c r="D504" s="13" t="n">
        <v>70.15000000000001</v>
      </c>
      <c r="E504" s="13">
        <f>IF(OR(C504="",D504=""),"",ABS(C504-D504))</f>
        <v/>
      </c>
      <c r="F504" s="11" t="inlineStr">
        <is>
          <t>CAR</t>
        </is>
      </c>
      <c r="G504" s="12" t="n">
        <v>-135</v>
      </c>
      <c r="H504" s="14">
        <f>IF(OR(F504="",G504="",AND(I504&lt;&gt;"W",I504&lt;&gt;"L")),"",IF(I504="W",IF(G504&gt;0,G504/100,1),IF(G504&lt;0,G504/100,-1)))</f>
        <v/>
      </c>
      <c r="I504" s="11" t="inlineStr">
        <is>
          <t>L</t>
        </is>
      </c>
      <c r="J504" s="10" t="inlineStr">
        <is>
          <t>CAR 3, FLA 4</t>
        </is>
      </c>
      <c r="K504" s="10" t="inlineStr">
        <is>
          <t>DraftKings closing</t>
        </is>
      </c>
    </row>
    <row r="505">
      <c r="A505" s="9" t="n">
        <v>46010</v>
      </c>
      <c r="B505" s="10" t="inlineStr">
        <is>
          <t>VAN @ NYI</t>
        </is>
      </c>
      <c r="C505" s="13" t="n">
        <v>72.53</v>
      </c>
      <c r="D505" s="13" t="n">
        <v>62.38</v>
      </c>
      <c r="E505" s="13">
        <f>IF(OR(C505="",D505=""),"",ABS(C505-D505))</f>
        <v/>
      </c>
      <c r="F505" s="11" t="inlineStr">
        <is>
          <t>VAN</t>
        </is>
      </c>
      <c r="G505" s="12" t="n">
        <v>120</v>
      </c>
      <c r="H505" s="14">
        <f>IF(OR(F505="",G505="",AND(I505&lt;&gt;"W",I505&lt;&gt;"L")),"",IF(I505="W",IF(G505&gt;0,G505/100,1),IF(G505&lt;0,G505/100,-1)))</f>
        <v/>
      </c>
      <c r="I505" s="11" t="inlineStr">
        <is>
          <t>W</t>
        </is>
      </c>
      <c r="J505" s="10" t="inlineStr">
        <is>
          <t>VAN 4, NYI 1</t>
        </is>
      </c>
      <c r="K505" s="10" t="inlineStr">
        <is>
          <t>DraftKings closing</t>
        </is>
      </c>
    </row>
    <row r="506">
      <c r="A506" s="9" t="n">
        <v>46010</v>
      </c>
      <c r="B506" s="10" t="inlineStr">
        <is>
          <t>WPG @ COL</t>
        </is>
      </c>
      <c r="C506" s="13" t="n">
        <v>66.68000000000001</v>
      </c>
      <c r="D506" s="13" t="n">
        <v>71.89</v>
      </c>
      <c r="E506" s="13">
        <f>IF(OR(C506="",D506=""),"",ABS(C506-D506))</f>
        <v/>
      </c>
      <c r="F506" s="11" t="inlineStr">
        <is>
          <t>COL</t>
        </is>
      </c>
      <c r="G506" s="12" t="n">
        <v>-218</v>
      </c>
      <c r="H506" s="14">
        <f>IF(OR(F506="",G506="",AND(I506&lt;&gt;"W",I506&lt;&gt;"L")),"",IF(I506="W",IF(G506&gt;0,G506/100,1),IF(G506&lt;0,G506/100,-1)))</f>
        <v/>
      </c>
      <c r="I506" s="11" t="inlineStr">
        <is>
          <t>W</t>
        </is>
      </c>
      <c r="J506" s="10" t="inlineStr">
        <is>
          <t>WPG 2, COL 3</t>
        </is>
      </c>
      <c r="K506" s="10" t="inlineStr">
        <is>
          <t>DraftKings closing</t>
        </is>
      </c>
    </row>
    <row r="507">
      <c r="A507" s="9" t="n">
        <v>46010</v>
      </c>
      <c r="B507" s="10" t="inlineStr">
        <is>
          <t>NJD @ UTA</t>
        </is>
      </c>
      <c r="C507" s="13" t="n">
        <v>73.5</v>
      </c>
      <c r="D507" s="13" t="n">
        <v>82</v>
      </c>
      <c r="E507" s="13">
        <f>IF(OR(C507="",D507=""),"",ABS(C507-D507))</f>
        <v/>
      </c>
      <c r="F507" s="11" t="inlineStr">
        <is>
          <t>UTA</t>
        </is>
      </c>
      <c r="G507" s="12" t="n">
        <v>-142</v>
      </c>
      <c r="H507" s="14">
        <f>IF(OR(F507="",G507="",AND(I507&lt;&gt;"W",I507&lt;&gt;"L")),"",IF(I507="W",IF(G507&gt;0,G507/100,1),IF(G507&lt;0,G507/100,-1)))</f>
        <v/>
      </c>
      <c r="I507" s="11" t="inlineStr">
        <is>
          <t>L</t>
        </is>
      </c>
      <c r="J507" s="10" t="inlineStr">
        <is>
          <t>NJD 2, UTA 1</t>
        </is>
      </c>
      <c r="K507" s="10" t="inlineStr">
        <is>
          <t>DraftKings closing</t>
        </is>
      </c>
    </row>
    <row r="508">
      <c r="A508" s="9" t="n">
        <v>46010</v>
      </c>
      <c r="B508" s="10" t="inlineStr">
        <is>
          <t>DAL @ ANA</t>
        </is>
      </c>
      <c r="C508" s="13" t="n">
        <v>72.48999999999999</v>
      </c>
      <c r="D508" s="13" t="n">
        <v>66.29000000000001</v>
      </c>
      <c r="E508" s="13">
        <f>IF(OR(C508="",D508=""),"",ABS(C508-D508))</f>
        <v/>
      </c>
      <c r="F508" s="11" t="inlineStr">
        <is>
          <t>DAL</t>
        </is>
      </c>
      <c r="G508" s="12" t="n">
        <v>-108</v>
      </c>
      <c r="H508" s="14">
        <f>IF(OR(F508="",G508="",AND(I508&lt;&gt;"W",I508&lt;&gt;"L")),"",IF(I508="W",IF(G508&gt;0,G508/100,1),IF(G508&lt;0,G508/100,-1)))</f>
        <v/>
      </c>
      <c r="I508" s="11" t="inlineStr">
        <is>
          <t>W</t>
        </is>
      </c>
      <c r="J508" s="10" t="inlineStr">
        <is>
          <t>DAL 8, ANA 3</t>
        </is>
      </c>
      <c r="K508" s="10" t="inlineStr">
        <is>
          <t>DraftKings closing</t>
        </is>
      </c>
    </row>
    <row r="509">
      <c r="A509" s="9" t="n">
        <v>46011</v>
      </c>
      <c r="B509" s="10" t="inlineStr">
        <is>
          <t>PHI @ NYR</t>
        </is>
      </c>
      <c r="C509" s="13" t="n">
        <v>68.8</v>
      </c>
      <c r="D509" s="13" t="n">
        <v>71.38</v>
      </c>
      <c r="E509" s="13">
        <f>IF(OR(C509="",D509=""),"",ABS(C509-D509))</f>
        <v/>
      </c>
      <c r="F509" s="11" t="inlineStr">
        <is>
          <t>NYR</t>
        </is>
      </c>
      <c r="G509" s="12" t="n">
        <v>-155</v>
      </c>
      <c r="H509" s="14">
        <f>IF(OR(F509="",G509="",AND(I509&lt;&gt;"W",I509&lt;&gt;"L")),"",IF(I509="W",IF(G509&gt;0,G509/100,1),IF(G509&lt;0,G509/100,-1)))</f>
        <v/>
      </c>
      <c r="I509" s="11" t="inlineStr">
        <is>
          <t>W</t>
        </is>
      </c>
      <c r="J509" s="10" t="inlineStr">
        <is>
          <t>PHI 4, NYR 5</t>
        </is>
      </c>
      <c r="K509" s="10" t="inlineStr">
        <is>
          <t>DraftKings closing</t>
        </is>
      </c>
    </row>
    <row r="510">
      <c r="A510" s="9" t="n">
        <v>46011</v>
      </c>
      <c r="B510" s="10" t="inlineStr">
        <is>
          <t>DET @ WSH</t>
        </is>
      </c>
      <c r="C510" s="13" t="n">
        <v>58</v>
      </c>
      <c r="D510" s="13" t="n">
        <v>91.03</v>
      </c>
      <c r="E510" s="13">
        <f>IF(OR(C510="",D510=""),"",ABS(C510-D510))</f>
        <v/>
      </c>
      <c r="F510" s="11" t="inlineStr">
        <is>
          <t>WSH</t>
        </is>
      </c>
      <c r="G510" s="12" t="n">
        <v>-162</v>
      </c>
      <c r="H510" s="14">
        <f>IF(OR(F510="",G510="",AND(I510&lt;&gt;"W",I510&lt;&gt;"L")),"",IF(I510="W",IF(G510&gt;0,G510/100,1),IF(G510&lt;0,G510/100,-1)))</f>
        <v/>
      </c>
      <c r="I510" s="11" t="inlineStr">
        <is>
          <t>L</t>
        </is>
      </c>
      <c r="J510" s="10" t="inlineStr">
        <is>
          <t>DET 5, WSH 2</t>
        </is>
      </c>
      <c r="K510" s="10" t="inlineStr">
        <is>
          <t>DraftKings closing</t>
        </is>
      </c>
    </row>
    <row r="511">
      <c r="A511" s="9" t="n">
        <v>46011</v>
      </c>
      <c r="B511" s="10" t="inlineStr">
        <is>
          <t>CHI @ OTT</t>
        </is>
      </c>
      <c r="C511" s="13" t="n">
        <v>57.28</v>
      </c>
      <c r="D511" s="13" t="n">
        <v>84.26000000000001</v>
      </c>
      <c r="E511" s="13">
        <f>IF(OR(C511="",D511=""),"",ABS(C511-D511))</f>
        <v/>
      </c>
      <c r="F511" s="11" t="inlineStr">
        <is>
          <t>OTT</t>
        </is>
      </c>
      <c r="G511" s="12" t="n">
        <v>-278</v>
      </c>
      <c r="H511" s="14">
        <f>IF(OR(F511="",G511="",AND(I511&lt;&gt;"W",I511&lt;&gt;"L")),"",IF(I511="W",IF(G511&gt;0,G511/100,1),IF(G511&lt;0,G511/100,-1)))</f>
        <v/>
      </c>
      <c r="I511" s="11" t="inlineStr">
        <is>
          <t>W</t>
        </is>
      </c>
      <c r="J511" s="10" t="inlineStr">
        <is>
          <t>CHI 4, OTT 6</t>
        </is>
      </c>
      <c r="K511" s="10" t="inlineStr">
        <is>
          <t>DraftKings closing</t>
        </is>
      </c>
    </row>
    <row r="512">
      <c r="A512" s="9" t="n">
        <v>46011</v>
      </c>
      <c r="B512" s="10" t="inlineStr">
        <is>
          <t>EDM @ MIN</t>
        </is>
      </c>
      <c r="C512" s="13" t="n">
        <v>75.09999999999999</v>
      </c>
      <c r="D512" s="13" t="n">
        <v>73.69</v>
      </c>
      <c r="E512" s="13">
        <f>IF(OR(C512="",D512=""),"",ABS(C512-D512))</f>
        <v/>
      </c>
      <c r="F512" s="11" t="inlineStr">
        <is>
          <t>EDM</t>
        </is>
      </c>
      <c r="G512" s="12" t="n">
        <v>114</v>
      </c>
      <c r="H512" s="14">
        <f>IF(OR(F512="",G512="",AND(I512&lt;&gt;"W",I512&lt;&gt;"L")),"",IF(I512="W",IF(G512&gt;0,G512/100,1),IF(G512&lt;0,G512/100,-1)))</f>
        <v/>
      </c>
      <c r="I512" s="11" t="inlineStr">
        <is>
          <t>L</t>
        </is>
      </c>
      <c r="J512" s="10" t="inlineStr">
        <is>
          <t>EDM 2, MIN 5</t>
        </is>
      </c>
      <c r="K512" s="10" t="inlineStr">
        <is>
          <t>DraftKings closing</t>
        </is>
      </c>
    </row>
    <row r="513">
      <c r="A513" s="9" t="n">
        <v>46011</v>
      </c>
      <c r="B513" s="10" t="inlineStr">
        <is>
          <t>NYI @ BUF</t>
        </is>
      </c>
      <c r="C513" s="13" t="n">
        <v>60.1</v>
      </c>
      <c r="D513" s="13" t="n">
        <v>71.2</v>
      </c>
      <c r="E513" s="13">
        <f>IF(OR(C513="",D513=""),"",ABS(C513-D513))</f>
        <v/>
      </c>
      <c r="F513" s="11" t="inlineStr">
        <is>
          <t>BUF</t>
        </is>
      </c>
      <c r="G513" s="12" t="n">
        <v>-170</v>
      </c>
      <c r="H513" s="14">
        <f>IF(OR(F513="",G513="",AND(I513&lt;&gt;"W",I513&lt;&gt;"L")),"",IF(I513="W",IF(G513&gt;0,G513/100,1),IF(G513&lt;0,G513/100,-1)))</f>
        <v/>
      </c>
      <c r="I513" s="11" t="inlineStr">
        <is>
          <t>W</t>
        </is>
      </c>
      <c r="J513" s="10" t="inlineStr">
        <is>
          <t>NYI 2, BUF 3</t>
        </is>
      </c>
      <c r="K513" s="10" t="inlineStr">
        <is>
          <t>DraftKings closing</t>
        </is>
      </c>
    </row>
    <row r="514">
      <c r="A514" s="9" t="n">
        <v>46011</v>
      </c>
      <c r="B514" s="10" t="inlineStr">
        <is>
          <t>STL @ FLA</t>
        </is>
      </c>
      <c r="C514" s="13" t="n">
        <v>68.62</v>
      </c>
      <c r="D514" s="13" t="n">
        <v>72.43000000000001</v>
      </c>
      <c r="E514" s="13">
        <f>IF(OR(C514="",D514=""),"",ABS(C514-D514))</f>
        <v/>
      </c>
      <c r="F514" s="11" t="inlineStr">
        <is>
          <t>FLA</t>
        </is>
      </c>
      <c r="G514" s="12" t="n">
        <v>-180</v>
      </c>
      <c r="H514" s="14">
        <f>IF(OR(F514="",G514="",AND(I514&lt;&gt;"W",I514&lt;&gt;"L")),"",IF(I514="W",IF(G514&gt;0,G514/100,1),IF(G514&lt;0,G514/100,-1)))</f>
        <v/>
      </c>
      <c r="I514" s="11" t="inlineStr">
        <is>
          <t>L</t>
        </is>
      </c>
      <c r="J514" s="10" t="inlineStr">
        <is>
          <t>STL 6, FLA 2</t>
        </is>
      </c>
      <c r="K514" s="10" t="inlineStr">
        <is>
          <t>DraftKings closing</t>
        </is>
      </c>
    </row>
    <row r="515">
      <c r="A515" s="9" t="n">
        <v>46011</v>
      </c>
      <c r="B515" s="10" t="inlineStr">
        <is>
          <t>VAN @ BOS</t>
        </is>
      </c>
      <c r="C515" s="13" t="n">
        <v>79.90000000000001</v>
      </c>
      <c r="D515" s="13" t="n">
        <v>64.90000000000001</v>
      </c>
      <c r="E515" s="13">
        <f>IF(OR(C515="",D515=""),"",ABS(C515-D515))</f>
        <v/>
      </c>
      <c r="F515" s="11" t="inlineStr">
        <is>
          <t>VAN</t>
        </is>
      </c>
      <c r="G515" s="12" t="n">
        <v>154</v>
      </c>
      <c r="H515" s="14">
        <f>IF(OR(F515="",G515="",AND(I515&lt;&gt;"W",I515&lt;&gt;"L")),"",IF(I515="W",IF(G515&gt;0,G515/100,1),IF(G515&lt;0,G515/100,-1)))</f>
        <v/>
      </c>
      <c r="I515" s="11" t="inlineStr">
        <is>
          <t>W</t>
        </is>
      </c>
      <c r="J515" s="10" t="inlineStr">
        <is>
          <t>VAN 5, BOS 4</t>
        </is>
      </c>
      <c r="K515" s="10" t="inlineStr">
        <is>
          <t>DraftKings closing</t>
        </is>
      </c>
    </row>
    <row r="516">
      <c r="A516" s="9" t="n">
        <v>46011</v>
      </c>
      <c r="B516" s="10" t="inlineStr">
        <is>
          <t>PIT @ MTL</t>
        </is>
      </c>
      <c r="C516" s="13" t="n">
        <v>55.74</v>
      </c>
      <c r="D516" s="13" t="n">
        <v>82.72</v>
      </c>
      <c r="E516" s="13">
        <f>IF(OR(C516="",D516=""),"",ABS(C516-D516))</f>
        <v/>
      </c>
      <c r="F516" s="11" t="inlineStr">
        <is>
          <t>MTL</t>
        </is>
      </c>
      <c r="G516" s="12" t="n">
        <v>-130</v>
      </c>
      <c r="H516" s="14">
        <f>IF(OR(F516="",G516="",AND(I516&lt;&gt;"W",I516&lt;&gt;"L")),"",IF(I516="W",IF(G516&gt;0,G516/100,1),IF(G516&lt;0,G516/100,-1)))</f>
        <v/>
      </c>
      <c r="I516" s="11" t="inlineStr">
        <is>
          <t>W</t>
        </is>
      </c>
      <c r="J516" s="10" t="inlineStr">
        <is>
          <t>PIT 0, MTL 4</t>
        </is>
      </c>
      <c r="K516" s="10" t="inlineStr">
        <is>
          <t>DraftKings closing</t>
        </is>
      </c>
    </row>
    <row r="517">
      <c r="A517" s="9" t="n">
        <v>46011</v>
      </c>
      <c r="B517" s="10" t="inlineStr">
        <is>
          <t>CAR @ TBL</t>
        </is>
      </c>
      <c r="C517" s="13" t="n">
        <v>67.56999999999999</v>
      </c>
      <c r="D517" s="13" t="n">
        <v>79.64</v>
      </c>
      <c r="E517" s="13">
        <f>IF(OR(C517="",D517=""),"",ABS(C517-D517))</f>
        <v/>
      </c>
      <c r="F517" s="11" t="inlineStr">
        <is>
          <t>TBL</t>
        </is>
      </c>
      <c r="G517" s="12" t="n">
        <v>-135</v>
      </c>
      <c r="H517" s="14">
        <f>IF(OR(F517="",G517="",AND(I517&lt;&gt;"W",I517&lt;&gt;"L")),"",IF(I517="W",IF(G517&gt;0,G517/100,1),IF(G517&lt;0,G517/100,-1)))</f>
        <v/>
      </c>
      <c r="I517" s="11" t="inlineStr">
        <is>
          <t>W</t>
        </is>
      </c>
      <c r="J517" s="10" t="inlineStr">
        <is>
          <t>CAR 4, TBL 6</t>
        </is>
      </c>
      <c r="K517" s="10" t="inlineStr">
        <is>
          <t>DraftKings closing</t>
        </is>
      </c>
    </row>
    <row r="518">
      <c r="A518" s="9" t="n">
        <v>46011</v>
      </c>
      <c r="B518" s="10" t="inlineStr">
        <is>
          <t>TOR @ NSH</t>
        </is>
      </c>
      <c r="C518" s="13" t="n">
        <v>48.97</v>
      </c>
      <c r="D518" s="13" t="n">
        <v>55.33</v>
      </c>
      <c r="E518" s="13">
        <f>IF(OR(C518="",D518=""),"",ABS(C518-D518))</f>
        <v/>
      </c>
      <c r="F518" s="11" t="inlineStr">
        <is>
          <t>NSH</t>
        </is>
      </c>
      <c r="G518" s="12" t="n">
        <v>-110</v>
      </c>
      <c r="H518" s="14">
        <f>IF(OR(F518="",G518="",AND(I518&lt;&gt;"W",I518&lt;&gt;"L")),"",IF(I518="W",IF(G518&gt;0,G518/100,1),IF(G518&lt;0,G518/100,-1)))</f>
        <v/>
      </c>
      <c r="I518" s="11" t="inlineStr">
        <is>
          <t>W</t>
        </is>
      </c>
      <c r="J518" s="10" t="inlineStr">
        <is>
          <t>TOR 3, NSH 5</t>
        </is>
      </c>
      <c r="K518" s="10" t="inlineStr">
        <is>
          <t>DraftKings closing</t>
        </is>
      </c>
    </row>
    <row r="519">
      <c r="A519" s="9" t="n">
        <v>46011</v>
      </c>
      <c r="B519" s="10" t="inlineStr">
        <is>
          <t>VGK @ CGY</t>
        </is>
      </c>
      <c r="C519" s="13" t="n">
        <v>66.5</v>
      </c>
      <c r="D519" s="13" t="n">
        <v>77.76000000000001</v>
      </c>
      <c r="E519" s="13">
        <f>IF(OR(C519="",D519=""),"",ABS(C519-D519))</f>
        <v/>
      </c>
      <c r="F519" s="11" t="inlineStr">
        <is>
          <t>CGY</t>
        </is>
      </c>
      <c r="G519" s="12" t="n">
        <v>110</v>
      </c>
      <c r="H519" s="14">
        <f>IF(OR(F519="",G519="",AND(I519&lt;&gt;"W",I519&lt;&gt;"L")),"",IF(I519="W",IF(G519&gt;0,G519/100,1),IF(G519&lt;0,G519/100,-1)))</f>
        <v/>
      </c>
      <c r="I519" s="11" t="inlineStr">
        <is>
          <t>W</t>
        </is>
      </c>
      <c r="J519" s="10" t="inlineStr">
        <is>
          <t>VGK 3, CGY 6</t>
        </is>
      </c>
      <c r="K519" s="10" t="inlineStr">
        <is>
          <t>DraftKings closing</t>
        </is>
      </c>
    </row>
    <row r="520">
      <c r="A520" s="9" t="n">
        <v>46011</v>
      </c>
      <c r="B520" s="10" t="inlineStr">
        <is>
          <t>CBJ @ ANA</t>
        </is>
      </c>
      <c r="C520" s="13" t="n">
        <v>66.31</v>
      </c>
      <c r="D520" s="13" t="n">
        <v>56.9</v>
      </c>
      <c r="E520" s="13">
        <f>IF(OR(C520="",D520=""),"",ABS(C520-D520))</f>
        <v/>
      </c>
      <c r="F520" s="11" t="inlineStr">
        <is>
          <t>CBJ</t>
        </is>
      </c>
      <c r="G520" s="12" t="n">
        <v>102</v>
      </c>
      <c r="H520" s="14">
        <f>IF(OR(F520="",G520="",AND(I520&lt;&gt;"W",I520&lt;&gt;"L")),"",IF(I520="W",IF(G520&gt;0,G520/100,1),IF(G520&lt;0,G520/100,-1)))</f>
        <v/>
      </c>
      <c r="I520" s="11" t="inlineStr">
        <is>
          <t>L</t>
        </is>
      </c>
      <c r="J520" s="10" t="inlineStr">
        <is>
          <t>CBJ 3, ANA 4</t>
        </is>
      </c>
      <c r="K520" s="10" t="inlineStr">
        <is>
          <t>DraftKings closing</t>
        </is>
      </c>
    </row>
    <row r="521">
      <c r="A521" s="9" t="n">
        <v>46011</v>
      </c>
      <c r="B521" s="10" t="inlineStr">
        <is>
          <t>SEA @ SJS</t>
        </is>
      </c>
      <c r="C521" s="13" t="n">
        <v>62.24</v>
      </c>
      <c r="D521" s="13" t="n">
        <v>67.51000000000001</v>
      </c>
      <c r="E521" s="13">
        <f>IF(OR(C521="",D521=""),"",ABS(C521-D521))</f>
        <v/>
      </c>
      <c r="F521" s="11" t="inlineStr">
        <is>
          <t>SJS</t>
        </is>
      </c>
      <c r="G521" s="12" t="n">
        <v>-130</v>
      </c>
      <c r="H521" s="14">
        <f>IF(OR(F521="",G521="",AND(I521&lt;&gt;"W",I521&lt;&gt;"L")),"",IF(I521="W",IF(G521&gt;0,G521/100,1),IF(G521&lt;0,G521/100,-1)))</f>
        <v/>
      </c>
      <c r="I521" s="11" t="inlineStr">
        <is>
          <t>L</t>
        </is>
      </c>
      <c r="J521" s="10" t="inlineStr">
        <is>
          <t>SEA 4, SJS 2</t>
        </is>
      </c>
      <c r="K521" s="10" t="inlineStr">
        <is>
          <t>DraftKings closing</t>
        </is>
      </c>
    </row>
    <row r="522">
      <c r="A522" s="9" t="n">
        <v>46012</v>
      </c>
      <c r="B522" s="10" t="inlineStr">
        <is>
          <t>WSH @ DET</t>
        </is>
      </c>
      <c r="C522" s="13" t="n">
        <v>54.81</v>
      </c>
      <c r="D522" s="13" t="n">
        <v>85.19</v>
      </c>
      <c r="E522" s="13">
        <f>IF(OR(C522="",D522=""),"",ABS(C522-D522))</f>
        <v/>
      </c>
      <c r="F522" s="11" t="inlineStr">
        <is>
          <t>DET</t>
        </is>
      </c>
      <c r="G522" s="12" t="n">
        <v>-115</v>
      </c>
      <c r="H522" s="14">
        <f>IF(OR(F522="",G522="",AND(I522&lt;&gt;"W",I522&lt;&gt;"L")),"",IF(I522="W",IF(G522&gt;0,G522/100,1),IF(G522&lt;0,G522/100,-1)))</f>
        <v/>
      </c>
      <c r="I522" s="11" t="inlineStr">
        <is>
          <t>W</t>
        </is>
      </c>
      <c r="J522" s="10" t="inlineStr">
        <is>
          <t>WSH 2, DET 3</t>
        </is>
      </c>
      <c r="K522" s="10" t="inlineStr">
        <is>
          <t>DraftKings closing</t>
        </is>
      </c>
    </row>
    <row r="523">
      <c r="A523" s="9" t="n">
        <v>46012</v>
      </c>
      <c r="B523" s="10" t="inlineStr">
        <is>
          <t>COL @ MIN</t>
        </is>
      </c>
      <c r="C523" s="13" t="n">
        <v>80.95</v>
      </c>
      <c r="D523" s="13" t="n">
        <v>77.73999999999999</v>
      </c>
      <c r="E523" s="13">
        <f>IF(OR(C523="",D523=""),"",ABS(C523-D523))</f>
        <v/>
      </c>
      <c r="F523" s="11" t="inlineStr">
        <is>
          <t>COL</t>
        </is>
      </c>
      <c r="G523" s="12" t="n">
        <v>-170</v>
      </c>
      <c r="H523" s="14">
        <f>IF(OR(F523="",G523="",AND(I523&lt;&gt;"W",I523&lt;&gt;"L")),"",IF(I523="W",IF(G523&gt;0,G523/100,1),IF(G523&lt;0,G523/100,-1)))</f>
        <v/>
      </c>
      <c r="I523" s="11" t="inlineStr">
        <is>
          <t>W</t>
        </is>
      </c>
      <c r="J523" s="10" t="inlineStr">
        <is>
          <t>COL 5, MIN 1</t>
        </is>
      </c>
      <c r="K523" s="10" t="inlineStr">
        <is>
          <t>DraftKings closing</t>
        </is>
      </c>
    </row>
    <row r="524">
      <c r="A524" s="9" t="n">
        <v>46012</v>
      </c>
      <c r="B524" s="10" t="inlineStr">
        <is>
          <t>OTT @ BOS</t>
        </is>
      </c>
      <c r="C524" s="13" t="n">
        <v>91.94</v>
      </c>
      <c r="D524" s="13" t="n">
        <v>80.20999999999999</v>
      </c>
      <c r="E524" s="13">
        <f>IF(OR(C524="",D524=""),"",ABS(C524-D524))</f>
        <v/>
      </c>
      <c r="F524" s="11" t="inlineStr">
        <is>
          <t>OTT</t>
        </is>
      </c>
      <c r="G524" s="12" t="n">
        <v>-148</v>
      </c>
      <c r="H524" s="14">
        <f>IF(OR(F524="",G524="",AND(I524&lt;&gt;"W",I524&lt;&gt;"L")),"",IF(I524="W",IF(G524&gt;0,G524/100,1),IF(G524&lt;0,G524/100,-1)))</f>
        <v/>
      </c>
      <c r="I524" s="11" t="inlineStr">
        <is>
          <t>W</t>
        </is>
      </c>
      <c r="J524" s="10" t="inlineStr">
        <is>
          <t>OTT 6, BOS 2</t>
        </is>
      </c>
      <c r="K524" s="10" t="inlineStr">
        <is>
          <t>DraftKings closing</t>
        </is>
      </c>
    </row>
    <row r="525">
      <c r="A525" s="9" t="n">
        <v>46012</v>
      </c>
      <c r="B525" s="10" t="inlineStr">
        <is>
          <t>BUF @ NJD</t>
        </is>
      </c>
      <c r="C525" s="13" t="n">
        <v>69.13</v>
      </c>
      <c r="D525" s="13" t="n">
        <v>64.2</v>
      </c>
      <c r="E525" s="13">
        <f>IF(OR(C525="",D525=""),"",ABS(C525-D525))</f>
        <v/>
      </c>
      <c r="F525" s="11" t="inlineStr">
        <is>
          <t>BUF</t>
        </is>
      </c>
      <c r="G525" s="12" t="n">
        <v>150</v>
      </c>
      <c r="H525" s="14">
        <f>IF(OR(F525="",G525="",AND(I525&lt;&gt;"W",I525&lt;&gt;"L")),"",IF(I525="W",IF(G525&gt;0,G525/100,1),IF(G525&lt;0,G525/100,-1)))</f>
        <v/>
      </c>
      <c r="I525" s="11" t="inlineStr">
        <is>
          <t>W</t>
        </is>
      </c>
      <c r="J525" s="10" t="inlineStr">
        <is>
          <t>BUF 3, NJD 1</t>
        </is>
      </c>
      <c r="K525" s="10" t="inlineStr">
        <is>
          <t>DraftKings closing</t>
        </is>
      </c>
    </row>
    <row r="526">
      <c r="A526" s="9" t="n">
        <v>46012</v>
      </c>
      <c r="B526" s="10" t="inlineStr">
        <is>
          <t>MTL @ PIT</t>
        </is>
      </c>
      <c r="C526" s="13" t="n">
        <v>70.94</v>
      </c>
      <c r="D526" s="13" t="n">
        <v>69.06</v>
      </c>
      <c r="E526" s="13">
        <f>IF(OR(C526="",D526=""),"",ABS(C526-D526))</f>
        <v/>
      </c>
      <c r="F526" s="11" t="inlineStr">
        <is>
          <t>MTL</t>
        </is>
      </c>
      <c r="G526" s="12" t="n">
        <v>-105</v>
      </c>
      <c r="H526" s="14">
        <f>IF(OR(F526="",G526="",AND(I526&lt;&gt;"W",I526&lt;&gt;"L")),"",IF(I526="W",IF(G526&gt;0,G526/100,1),IF(G526&lt;0,G526/100,-1)))</f>
        <v/>
      </c>
      <c r="I526" s="11" t="inlineStr">
        <is>
          <t>L</t>
        </is>
      </c>
      <c r="J526" s="10" t="inlineStr">
        <is>
          <t>MTL 3, PIT 4</t>
        </is>
      </c>
      <c r="K526" s="10" t="inlineStr">
        <is>
          <t>DraftKings closing</t>
        </is>
      </c>
    </row>
    <row r="527">
      <c r="A527" s="9" t="n">
        <v>46012</v>
      </c>
      <c r="B527" s="10" t="inlineStr">
        <is>
          <t>NYR @ NSH</t>
        </is>
      </c>
      <c r="C527" s="13" t="n">
        <v>71.42</v>
      </c>
      <c r="D527" s="13" t="n">
        <v>75.54000000000001</v>
      </c>
      <c r="E527" s="13">
        <f>IF(OR(C527="",D527=""),"",ABS(C527-D527))</f>
        <v/>
      </c>
      <c r="F527" s="11" t="inlineStr">
        <is>
          <t>NSH</t>
        </is>
      </c>
      <c r="G527" s="12" t="n">
        <v>-112</v>
      </c>
      <c r="H527" s="14">
        <f>IF(OR(F527="",G527="",AND(I527&lt;&gt;"W",I527&lt;&gt;"L")),"",IF(I527="W",IF(G527&gt;0,G527/100,1),IF(G527&lt;0,G527/100,-1)))</f>
        <v/>
      </c>
      <c r="I527" s="11" t="inlineStr">
        <is>
          <t>W</t>
        </is>
      </c>
      <c r="J527" s="10" t="inlineStr">
        <is>
          <t>NYR 1, NSH 2</t>
        </is>
      </c>
      <c r="K527" s="10" t="inlineStr">
        <is>
          <t>DraftKings closing</t>
        </is>
      </c>
    </row>
    <row r="528">
      <c r="A528" s="9" t="n">
        <v>46012</v>
      </c>
      <c r="B528" s="10" t="inlineStr">
        <is>
          <t>TOR @ DAL</t>
        </is>
      </c>
      <c r="C528" s="13" t="n">
        <v>64.45999999999999</v>
      </c>
      <c r="D528" s="13" t="n">
        <v>83.09999999999999</v>
      </c>
      <c r="E528" s="13">
        <f>IF(OR(C528="",D528=""),"",ABS(C528-D528))</f>
        <v/>
      </c>
      <c r="F528" s="11" t="inlineStr">
        <is>
          <t>DAL</t>
        </is>
      </c>
      <c r="G528" s="12" t="n">
        <v>-218</v>
      </c>
      <c r="H528" s="14">
        <f>IF(OR(F528="",G528="",AND(I528&lt;&gt;"W",I528&lt;&gt;"L")),"",IF(I528="W",IF(G528&gt;0,G528/100,1),IF(G528&lt;0,G528/100,-1)))</f>
        <v/>
      </c>
      <c r="I528" s="11" t="inlineStr">
        <is>
          <t>W</t>
        </is>
      </c>
      <c r="J528" s="10" t="inlineStr">
        <is>
          <t>TOR 1, DAL 5</t>
        </is>
      </c>
      <c r="K528" s="10" t="inlineStr">
        <is>
          <t>DraftKings closing</t>
        </is>
      </c>
    </row>
    <row r="529">
      <c r="A529" s="9" t="n">
        <v>46012</v>
      </c>
      <c r="B529" s="10" t="inlineStr">
        <is>
          <t>WPG @ UTA</t>
        </is>
      </c>
      <c r="C529" s="13" t="n">
        <v>59.05</v>
      </c>
      <c r="D529" s="13" t="n">
        <v>75.8</v>
      </c>
      <c r="E529" s="13">
        <f>IF(OR(C529="",D529=""),"",ABS(C529-D529))</f>
        <v/>
      </c>
      <c r="F529" s="11" t="inlineStr">
        <is>
          <t>UTA</t>
        </is>
      </c>
      <c r="G529" s="12" t="n">
        <v>-122</v>
      </c>
      <c r="H529" s="14">
        <f>IF(OR(F529="",G529="",AND(I529&lt;&gt;"W",I529&lt;&gt;"L")),"",IF(I529="W",IF(G529&gt;0,G529/100,1),IF(G529&lt;0,G529/100,-1)))</f>
        <v/>
      </c>
      <c r="I529" s="11" t="inlineStr">
        <is>
          <t>W</t>
        </is>
      </c>
      <c r="J529" s="10" t="inlineStr">
        <is>
          <t>WPG 3, UTA 4</t>
        </is>
      </c>
      <c r="K529" s="10" t="inlineStr">
        <is>
          <t>DraftKings closing</t>
        </is>
      </c>
    </row>
    <row r="530">
      <c r="A530" s="9" t="n">
        <v>46012</v>
      </c>
      <c r="B530" s="10" t="inlineStr">
        <is>
          <t>VGK @ EDM</t>
        </is>
      </c>
      <c r="C530" s="13" t="n">
        <v>67.23</v>
      </c>
      <c r="D530" s="13" t="n">
        <v>62.26</v>
      </c>
      <c r="E530" s="13">
        <f>IF(OR(C530="",D530=""),"",ABS(C530-D530))</f>
        <v/>
      </c>
      <c r="F530" s="11" t="inlineStr">
        <is>
          <t>VGK</t>
        </is>
      </c>
      <c r="G530" s="12" t="n">
        <v>105</v>
      </c>
      <c r="H530" s="14">
        <f>IF(OR(F530="",G530="",AND(I530&lt;&gt;"W",I530&lt;&gt;"L")),"",IF(I530="W",IF(G530&gt;0,G530/100,1),IF(G530&lt;0,G530/100,-1)))</f>
        <v/>
      </c>
      <c r="I530" s="11" t="inlineStr">
        <is>
          <t>L</t>
        </is>
      </c>
      <c r="J530" s="10" t="inlineStr">
        <is>
          <t>VGK 3, EDM 4</t>
        </is>
      </c>
      <c r="K530" s="10" t="inlineStr">
        <is>
          <t>DraftKings closing</t>
        </is>
      </c>
    </row>
    <row r="531">
      <c r="A531" s="9" t="n">
        <v>46013</v>
      </c>
      <c r="B531" s="10" t="inlineStr">
        <is>
          <t>STL @ TBL</t>
        </is>
      </c>
      <c r="C531" s="13" t="n">
        <v>83.8</v>
      </c>
      <c r="D531" s="13" t="n">
        <v>79.48999999999999</v>
      </c>
      <c r="E531" s="13">
        <f>IF(OR(C531="",D531=""),"",ABS(C531-D531))</f>
        <v/>
      </c>
      <c r="F531" s="11" t="inlineStr">
        <is>
          <t>STL</t>
        </is>
      </c>
      <c r="G531" s="12" t="n">
        <v>205</v>
      </c>
      <c r="H531" s="14">
        <f>IF(OR(F531="",G531="",AND(I531&lt;&gt;"W",I531&lt;&gt;"L")),"",IF(I531="W",IF(G531&gt;0,G531/100,1),IF(G531&lt;0,G531/100,-1)))</f>
        <v/>
      </c>
      <c r="I531" s="11" t="inlineStr">
        <is>
          <t>L</t>
        </is>
      </c>
      <c r="J531" s="10" t="inlineStr">
        <is>
          <t>STL 1, TBL 4</t>
        </is>
      </c>
      <c r="K531" s="10" t="inlineStr">
        <is>
          <t>DraftKings closing</t>
        </is>
      </c>
    </row>
    <row r="532">
      <c r="A532" s="9" t="n">
        <v>46013</v>
      </c>
      <c r="B532" s="10" t="inlineStr">
        <is>
          <t>VAN @ PHI</t>
        </is>
      </c>
      <c r="C532" s="13" t="n">
        <v>59.79</v>
      </c>
      <c r="D532" s="13" t="n">
        <v>68.58</v>
      </c>
      <c r="E532" s="13">
        <f>IF(OR(C532="",D532=""),"",ABS(C532-D532))</f>
        <v/>
      </c>
      <c r="F532" s="11" t="inlineStr">
        <is>
          <t>PHI</t>
        </is>
      </c>
      <c r="G532" s="12" t="n">
        <v>-148</v>
      </c>
      <c r="H532" s="14">
        <f>IF(OR(F532="",G532="",AND(I532&lt;&gt;"W",I532&lt;&gt;"L")),"",IF(I532="W",IF(G532&gt;0,G532/100,1),IF(G532&lt;0,G532/100,-1)))</f>
        <v/>
      </c>
      <c r="I532" s="11" t="inlineStr">
        <is>
          <t>W</t>
        </is>
      </c>
      <c r="J532" s="10" t="inlineStr">
        <is>
          <t>VAN 2, PHI 5</t>
        </is>
      </c>
      <c r="K532" s="10" t="inlineStr">
        <is>
          <t>DraftKings closing</t>
        </is>
      </c>
    </row>
    <row r="533">
      <c r="A533" s="9" t="n">
        <v>46013</v>
      </c>
      <c r="B533" s="10" t="inlineStr">
        <is>
          <t>SEA @ ANA</t>
        </is>
      </c>
      <c r="C533" s="13" t="n">
        <v>61.68</v>
      </c>
      <c r="D533" s="13" t="n">
        <v>71.61</v>
      </c>
      <c r="E533" s="13">
        <f>IF(OR(C533="",D533=""),"",ABS(C533-D533))</f>
        <v/>
      </c>
      <c r="F533" s="11" t="inlineStr">
        <is>
          <t>ANA</t>
        </is>
      </c>
      <c r="G533" s="12" t="n">
        <v>-185</v>
      </c>
      <c r="H533" s="14">
        <f>IF(OR(F533="",G533="",AND(I533&lt;&gt;"W",I533&lt;&gt;"L")),"",IF(I533="W",IF(G533&gt;0,G533/100,1),IF(G533&lt;0,G533/100,-1)))</f>
        <v/>
      </c>
      <c r="I533" s="11" t="inlineStr">
        <is>
          <t>L</t>
        </is>
      </c>
      <c r="J533" s="10" t="inlineStr">
        <is>
          <t>SEA 3, ANA 1</t>
        </is>
      </c>
      <c r="K533" s="10" t="inlineStr">
        <is>
          <t>DraftKings closing</t>
        </is>
      </c>
    </row>
    <row r="534">
      <c r="A534" s="9" t="n">
        <v>46013</v>
      </c>
      <c r="B534" s="10" t="inlineStr">
        <is>
          <t>CBJ @ LAK</t>
        </is>
      </c>
      <c r="C534" s="13" t="n">
        <v>68.39</v>
      </c>
      <c r="D534" s="13" t="n">
        <v>60.36</v>
      </c>
      <c r="E534" s="13">
        <f>IF(OR(C534="",D534=""),"",ABS(C534-D534))</f>
        <v/>
      </c>
      <c r="F534" s="11" t="inlineStr">
        <is>
          <t>CBJ</t>
        </is>
      </c>
      <c r="G534" s="12" t="n">
        <v>136</v>
      </c>
      <c r="H534" s="14">
        <f>IF(OR(F534="",G534="",AND(I534&lt;&gt;"W",I534&lt;&gt;"L")),"",IF(I534="W",IF(G534&gt;0,G534/100,1),IF(G534&lt;0,G534/100,-1)))</f>
        <v/>
      </c>
      <c r="I534" s="11" t="inlineStr">
        <is>
          <t>W</t>
        </is>
      </c>
      <c r="J534" s="10" t="inlineStr">
        <is>
          <t>CBJ 3, LAK 1</t>
        </is>
      </c>
      <c r="K534" s="10" t="inlineStr">
        <is>
          <t>DraftKings closing</t>
        </is>
      </c>
    </row>
    <row r="535">
      <c r="A535" s="9" t="n">
        <v>46014</v>
      </c>
      <c r="B535" s="10" t="inlineStr">
        <is>
          <t>PIT @ TOR</t>
        </is>
      </c>
      <c r="C535" s="13" t="n">
        <v>76.59</v>
      </c>
      <c r="D535" s="13" t="n">
        <v>65.69</v>
      </c>
      <c r="E535" s="13">
        <f>IF(OR(C535="",D535=""),"",ABS(C535-D535))</f>
        <v/>
      </c>
      <c r="F535" s="11" t="inlineStr">
        <is>
          <t>PIT</t>
        </is>
      </c>
      <c r="G535" s="12" t="n">
        <v>110</v>
      </c>
      <c r="H535" s="14">
        <f>IF(OR(F535="",G535="",AND(I535&lt;&gt;"W",I535&lt;&gt;"L")),"",IF(I535="W",IF(G535&gt;0,G535/100,1),IF(G535&lt;0,G535/100,-1)))</f>
        <v/>
      </c>
      <c r="I535" s="11" t="inlineStr">
        <is>
          <t>L</t>
        </is>
      </c>
      <c r="J535" s="10" t="inlineStr">
        <is>
          <t>PIT 3, TOR 6</t>
        </is>
      </c>
      <c r="K535" s="10" t="inlineStr">
        <is>
          <t>DraftKings closing</t>
        </is>
      </c>
    </row>
    <row r="536">
      <c r="A536" s="9" t="n">
        <v>46014</v>
      </c>
      <c r="B536" s="10" t="inlineStr">
        <is>
          <t>DAL @ DET</t>
        </is>
      </c>
      <c r="C536" s="13" t="n">
        <v>74.31</v>
      </c>
      <c r="D536" s="13" t="n">
        <v>60.85</v>
      </c>
      <c r="E536" s="13">
        <f>IF(OR(C536="",D536=""),"",ABS(C536-D536))</f>
        <v/>
      </c>
      <c r="F536" s="11" t="inlineStr">
        <is>
          <t>DAL</t>
        </is>
      </c>
      <c r="G536" s="12" t="n">
        <v>-125</v>
      </c>
      <c r="H536" s="14">
        <f>IF(OR(F536="",G536="",AND(I536&lt;&gt;"W",I536&lt;&gt;"L")),"",IF(I536="W",IF(G536&gt;0,G536/100,1),IF(G536&lt;0,G536/100,-1)))</f>
        <v/>
      </c>
      <c r="I536" s="11" t="inlineStr">
        <is>
          <t>L</t>
        </is>
      </c>
      <c r="J536" s="10" t="inlineStr">
        <is>
          <t>DAL 3, DET 4</t>
        </is>
      </c>
      <c r="K536" s="10" t="inlineStr">
        <is>
          <t>DraftKings closing</t>
        </is>
      </c>
    </row>
    <row r="537">
      <c r="A537" s="9" t="n">
        <v>46014</v>
      </c>
      <c r="B537" s="10" t="inlineStr">
        <is>
          <t>NYR @ WSH</t>
        </is>
      </c>
      <c r="C537" s="13" t="n">
        <v>64.84</v>
      </c>
      <c r="D537" s="13" t="n">
        <v>79.15000000000001</v>
      </c>
      <c r="E537" s="13">
        <f>IF(OR(C537="",D537=""),"",ABS(C537-D537))</f>
        <v/>
      </c>
      <c r="F537" s="11" t="inlineStr">
        <is>
          <t>WSH</t>
        </is>
      </c>
      <c r="G537" s="12" t="n">
        <v>-162</v>
      </c>
      <c r="H537" s="14">
        <f>IF(OR(F537="",G537="",AND(I537&lt;&gt;"W",I537&lt;&gt;"L")),"",IF(I537="W",IF(G537&gt;0,G537/100,1),IF(G537&lt;0,G537/100,-1)))</f>
        <v/>
      </c>
      <c r="I537" s="11" t="inlineStr">
        <is>
          <t>L</t>
        </is>
      </c>
      <c r="J537" s="10" t="inlineStr">
        <is>
          <t>NYR 7, WSH 3</t>
        </is>
      </c>
      <c r="K537" s="10" t="inlineStr">
        <is>
          <t>DraftKings closing</t>
        </is>
      </c>
    </row>
    <row r="538">
      <c r="A538" s="9" t="n">
        <v>46014</v>
      </c>
      <c r="B538" s="10" t="inlineStr">
        <is>
          <t>MTL @ BOS</t>
        </is>
      </c>
      <c r="C538" s="13" t="n">
        <v>63.41</v>
      </c>
      <c r="D538" s="13" t="n">
        <v>54.27</v>
      </c>
      <c r="E538" s="13">
        <f>IF(OR(C538="",D538=""),"",ABS(C538-D538))</f>
        <v/>
      </c>
      <c r="F538" s="11" t="inlineStr">
        <is>
          <t>MTL</t>
        </is>
      </c>
      <c r="G538" s="12" t="n">
        <v>100</v>
      </c>
      <c r="H538" s="14">
        <f>IF(OR(F538="",G538="",AND(I538&lt;&gt;"W",I538&lt;&gt;"L")),"",IF(I538="W",IF(G538&gt;0,G538/100,1),IF(G538&lt;0,G538/100,-1)))</f>
        <v/>
      </c>
      <c r="I538" s="11" t="inlineStr">
        <is>
          <t>W</t>
        </is>
      </c>
      <c r="J538" s="10" t="inlineStr">
        <is>
          <t>MTL 6, BOS 2</t>
        </is>
      </c>
      <c r="K538" s="10" t="inlineStr">
        <is>
          <t>DraftKings closing</t>
        </is>
      </c>
    </row>
    <row r="539">
      <c r="A539" s="9" t="n">
        <v>46014</v>
      </c>
      <c r="B539" s="10" t="inlineStr">
        <is>
          <t>BUF @ OTT</t>
        </is>
      </c>
      <c r="C539" s="13" t="n">
        <v>66.61</v>
      </c>
      <c r="D539" s="13" t="n">
        <v>85.73</v>
      </c>
      <c r="E539" s="13">
        <f>IF(OR(C539="",D539=""),"",ABS(C539-D539))</f>
        <v/>
      </c>
      <c r="F539" s="11" t="inlineStr">
        <is>
          <t>OTT</t>
        </is>
      </c>
      <c r="G539" s="12" t="n">
        <v>-166</v>
      </c>
      <c r="H539" s="14">
        <f>IF(OR(F539="",G539="",AND(I539&lt;&gt;"W",I539&lt;&gt;"L")),"",IF(I539="W",IF(G539&gt;0,G539/100,1),IF(G539&lt;0,G539/100,-1)))</f>
        <v/>
      </c>
      <c r="I539" s="11" t="inlineStr">
        <is>
          <t>L</t>
        </is>
      </c>
      <c r="J539" s="10" t="inlineStr">
        <is>
          <t>BUF 3, OTT 2</t>
        </is>
      </c>
      <c r="K539" s="10" t="inlineStr">
        <is>
          <t>DraftKings closing</t>
        </is>
      </c>
    </row>
    <row r="540">
      <c r="A540" s="9" t="n">
        <v>46014</v>
      </c>
      <c r="B540" s="10" t="inlineStr">
        <is>
          <t>NJD @ NYI</t>
        </is>
      </c>
      <c r="C540" s="13" t="n">
        <v>73.39</v>
      </c>
      <c r="D540" s="13" t="n">
        <v>70.87</v>
      </c>
      <c r="E540" s="13">
        <f>IF(OR(C540="",D540=""),"",ABS(C540-D540))</f>
        <v/>
      </c>
      <c r="F540" s="11" t="inlineStr">
        <is>
          <t>NJD</t>
        </is>
      </c>
      <c r="G540" s="12" t="n">
        <v>-130</v>
      </c>
      <c r="H540" s="14">
        <f>IF(OR(F540="",G540="",AND(I540&lt;&gt;"W",I540&lt;&gt;"L")),"",IF(I540="W",IF(G540&gt;0,G540/100,1),IF(G540&lt;0,G540/100,-1)))</f>
        <v/>
      </c>
      <c r="I540" s="11" t="inlineStr">
        <is>
          <t>L</t>
        </is>
      </c>
      <c r="J540" s="10" t="inlineStr">
        <is>
          <t>NJD 1, NYI 2</t>
        </is>
      </c>
      <c r="K540" s="10" t="inlineStr">
        <is>
          <t>DraftKings closing</t>
        </is>
      </c>
    </row>
    <row r="541">
      <c r="A541" s="9" t="n">
        <v>46014</v>
      </c>
      <c r="B541" s="10" t="inlineStr">
        <is>
          <t>FLA @ CAR</t>
        </is>
      </c>
      <c r="C541" s="13" t="n">
        <v>56.2</v>
      </c>
      <c r="D541" s="13" t="n">
        <v>60.51</v>
      </c>
      <c r="E541" s="13">
        <f>IF(OR(C541="",D541=""),"",ABS(C541-D541))</f>
        <v/>
      </c>
      <c r="F541" s="11" t="inlineStr">
        <is>
          <t>CAR</t>
        </is>
      </c>
      <c r="G541" s="12" t="n">
        <v>-142</v>
      </c>
      <c r="H541" s="14">
        <f>IF(OR(F541="",G541="",AND(I541&lt;&gt;"W",I541&lt;&gt;"L")),"",IF(I541="W",IF(G541&gt;0,G541/100,1),IF(G541&lt;0,G541/100,-1)))</f>
        <v/>
      </c>
      <c r="I541" s="11" t="inlineStr">
        <is>
          <t>L</t>
        </is>
      </c>
      <c r="J541" s="10" t="inlineStr">
        <is>
          <t>FLA 5, CAR 2</t>
        </is>
      </c>
      <c r="K541" s="10" t="inlineStr">
        <is>
          <t>DraftKings closing</t>
        </is>
      </c>
    </row>
    <row r="542">
      <c r="A542" s="9" t="n">
        <v>46014</v>
      </c>
      <c r="B542" s="10" t="inlineStr">
        <is>
          <t>NSH @ MIN</t>
        </is>
      </c>
      <c r="C542" s="13" t="n">
        <v>75.16</v>
      </c>
      <c r="D542" s="13" t="n">
        <v>51.48</v>
      </c>
      <c r="E542" s="13">
        <f>IF(OR(C542="",D542=""),"",ABS(C542-D542))</f>
        <v/>
      </c>
      <c r="F542" s="11" t="inlineStr">
        <is>
          <t>NSH</t>
        </is>
      </c>
      <c r="G542" s="12" t="n">
        <v>154</v>
      </c>
      <c r="H542" s="14">
        <f>IF(OR(F542="",G542="",AND(I542&lt;&gt;"W",I542&lt;&gt;"L")),"",IF(I542="W",IF(G542&gt;0,G542/100,1),IF(G542&lt;0,G542/100,-1)))</f>
        <v/>
      </c>
      <c r="I542" s="11" t="inlineStr">
        <is>
          <t>W</t>
        </is>
      </c>
      <c r="J542" s="10" t="inlineStr">
        <is>
          <t>NSH 3, MIN 2</t>
        </is>
      </c>
      <c r="K542" s="10" t="inlineStr">
        <is>
          <t>DraftKings closing</t>
        </is>
      </c>
    </row>
    <row r="543">
      <c r="A543" s="9" t="n">
        <v>46014</v>
      </c>
      <c r="B543" s="10" t="inlineStr">
        <is>
          <t>PHI @ CHI</t>
        </is>
      </c>
      <c r="C543" s="13" t="n">
        <v>84.81999999999999</v>
      </c>
      <c r="D543" s="13" t="n">
        <v>48.06</v>
      </c>
      <c r="E543" s="13">
        <f>IF(OR(C543="",D543=""),"",ABS(C543-D543))</f>
        <v/>
      </c>
      <c r="F543" s="11" t="inlineStr">
        <is>
          <t>PHI</t>
        </is>
      </c>
      <c r="G543" s="12" t="n">
        <v>-120</v>
      </c>
      <c r="H543" s="14">
        <f>IF(OR(F543="",G543="",AND(I543&lt;&gt;"W",I543&lt;&gt;"L")),"",IF(I543="W",IF(G543&gt;0,G543/100,1),IF(G543&lt;0,G543/100,-1)))</f>
        <v/>
      </c>
      <c r="I543" s="11" t="inlineStr">
        <is>
          <t>W</t>
        </is>
      </c>
      <c r="J543" s="10" t="inlineStr">
        <is>
          <t>PHI 3, CHI 1</t>
        </is>
      </c>
      <c r="K543" s="10" t="inlineStr">
        <is>
          <t>DraftKings closing</t>
        </is>
      </c>
    </row>
    <row r="544">
      <c r="A544" s="9" t="n">
        <v>46014</v>
      </c>
      <c r="B544" s="10" t="inlineStr">
        <is>
          <t>UTA @ COL</t>
        </is>
      </c>
      <c r="C544" s="13" t="n">
        <v>73.06</v>
      </c>
      <c r="D544" s="13" t="n">
        <v>88.52</v>
      </c>
      <c r="E544" s="13">
        <f>IF(OR(C544="",D544=""),"",ABS(C544-D544))</f>
        <v/>
      </c>
      <c r="F544" s="11" t="inlineStr">
        <is>
          <t>COL</t>
        </is>
      </c>
      <c r="G544" s="12" t="n">
        <v>-270</v>
      </c>
      <c r="H544" s="14">
        <f>IF(OR(F544="",G544="",AND(I544&lt;&gt;"W",I544&lt;&gt;"L")),"",IF(I544="W",IF(G544&gt;0,G544/100,1),IF(G544&lt;0,G544/100,-1)))</f>
        <v/>
      </c>
      <c r="I544" s="11" t="inlineStr">
        <is>
          <t>W</t>
        </is>
      </c>
      <c r="J544" s="10" t="inlineStr">
        <is>
          <t>UTA 0, COL 1</t>
        </is>
      </c>
      <c r="K544" s="10" t="inlineStr">
        <is>
          <t>DraftKings closing</t>
        </is>
      </c>
    </row>
    <row r="545">
      <c r="A545" s="9" t="n">
        <v>46014</v>
      </c>
      <c r="B545" s="10" t="inlineStr">
        <is>
          <t>CGY @ EDM</t>
        </is>
      </c>
      <c r="C545" s="13" t="n">
        <v>72.77</v>
      </c>
      <c r="D545" s="13" t="n">
        <v>68.79000000000001</v>
      </c>
      <c r="E545" s="13">
        <f>IF(OR(C545="",D545=""),"",ABS(C545-D545))</f>
        <v/>
      </c>
      <c r="F545" s="11" t="inlineStr">
        <is>
          <t>CGY</t>
        </is>
      </c>
      <c r="G545" s="12" t="n">
        <v>136</v>
      </c>
      <c r="H545" s="14">
        <f>IF(OR(F545="",G545="",AND(I545&lt;&gt;"W",I545&lt;&gt;"L")),"",IF(I545="W",IF(G545&gt;0,G545/100,1),IF(G545&lt;0,G545/100,-1)))</f>
        <v/>
      </c>
      <c r="I545" s="11" t="inlineStr">
        <is>
          <t>L</t>
        </is>
      </c>
      <c r="J545" s="10" t="inlineStr">
        <is>
          <t>CGY 1, EDM 5</t>
        </is>
      </c>
      <c r="K545" s="10" t="inlineStr">
        <is>
          <t>DraftKings closing</t>
        </is>
      </c>
    </row>
    <row r="546">
      <c r="A546" s="9" t="n">
        <v>46014</v>
      </c>
      <c r="B546" s="10" t="inlineStr">
        <is>
          <t>SJS @ VGK</t>
        </is>
      </c>
      <c r="C546" s="13" t="n">
        <v>78.31999999999999</v>
      </c>
      <c r="D546" s="13" t="n">
        <v>71.20999999999999</v>
      </c>
      <c r="E546" s="13">
        <f>IF(OR(C546="",D546=""),"",ABS(C546-D546))</f>
        <v/>
      </c>
      <c r="F546" s="11" t="inlineStr">
        <is>
          <t>SJS</t>
        </is>
      </c>
      <c r="G546" s="12" t="n">
        <v>164</v>
      </c>
      <c r="H546" s="14">
        <f>IF(OR(F546="",G546="",AND(I546&lt;&gt;"W",I546&lt;&gt;"L")),"",IF(I546="W",IF(G546&gt;0,G546/100,1),IF(G546&lt;0,G546/100,-1)))</f>
        <v/>
      </c>
      <c r="I546" s="11" t="inlineStr">
        <is>
          <t>L</t>
        </is>
      </c>
      <c r="J546" s="10" t="inlineStr">
        <is>
          <t>SJS 2, VGK 7</t>
        </is>
      </c>
      <c r="K546" s="10" t="inlineStr">
        <is>
          <t>DraftKings closing</t>
        </is>
      </c>
    </row>
    <row r="547">
      <c r="A547" s="9" t="n">
        <v>46014</v>
      </c>
      <c r="B547" s="10" t="inlineStr">
        <is>
          <t>SEA @ LAK</t>
        </is>
      </c>
      <c r="C547" s="13" t="n">
        <v>61.56</v>
      </c>
      <c r="D547" s="13" t="n">
        <v>64.26000000000001</v>
      </c>
      <c r="E547" s="13">
        <f>IF(OR(C547="",D547=""),"",ABS(C547-D547))</f>
        <v/>
      </c>
      <c r="F547" s="11" t="inlineStr">
        <is>
          <t>LAK</t>
        </is>
      </c>
      <c r="G547" s="12" t="n">
        <v>-218</v>
      </c>
      <c r="H547" s="14">
        <f>IF(OR(F547="",G547="",AND(I547&lt;&gt;"W",I547&lt;&gt;"L")),"",IF(I547="W",IF(G547&gt;0,G547/100,1),IF(G547&lt;0,G547/100,-1)))</f>
        <v/>
      </c>
      <c r="I547" s="11" t="inlineStr">
        <is>
          <t>L</t>
        </is>
      </c>
      <c r="J547" s="10" t="inlineStr">
        <is>
          <t>SEA 3, LAK 2</t>
        </is>
      </c>
      <c r="K547" s="10" t="inlineStr">
        <is>
          <t>DraftKings closing</t>
        </is>
      </c>
    </row>
    <row r="548">
      <c r="A548" s="9" t="n">
        <v>46018</v>
      </c>
      <c r="B548" s="10" t="inlineStr">
        <is>
          <t>NYR @ NYI</t>
        </is>
      </c>
      <c r="C548" s="13" t="n">
        <v>74.45</v>
      </c>
      <c r="D548" s="13" t="n">
        <v>72.36</v>
      </c>
      <c r="E548" s="13">
        <f>IF(OR(C548="",D548=""),"",ABS(C548-D548))</f>
        <v/>
      </c>
      <c r="F548" s="11" t="inlineStr">
        <is>
          <t>NYR</t>
        </is>
      </c>
      <c r="G548" s="12" t="n">
        <v>-115</v>
      </c>
      <c r="H548" s="14">
        <f>IF(OR(F548="",G548="",AND(I548&lt;&gt;"W",I548&lt;&gt;"L")),"",IF(I548="W",IF(G548&gt;0,G548/100,1),IF(G548&lt;0,G548/100,-1)))</f>
        <v/>
      </c>
      <c r="I548" s="11" t="inlineStr">
        <is>
          <t>L</t>
        </is>
      </c>
      <c r="J548" s="10" t="inlineStr">
        <is>
          <t>NYR 0, NYI 2</t>
        </is>
      </c>
      <c r="K548" s="10" t="inlineStr">
        <is>
          <t>DraftKings closing</t>
        </is>
      </c>
    </row>
    <row r="549">
      <c r="A549" s="9" t="n">
        <v>46018</v>
      </c>
      <c r="B549" s="10" t="inlineStr">
        <is>
          <t>BOS @ BUF</t>
        </is>
      </c>
      <c r="C549" s="13" t="n">
        <v>52.92</v>
      </c>
      <c r="D549" s="13" t="n">
        <v>63.65</v>
      </c>
      <c r="E549" s="13">
        <f>IF(OR(C549="",D549=""),"",ABS(C549-D549))</f>
        <v/>
      </c>
      <c r="F549" s="11" t="inlineStr">
        <is>
          <t>BUF</t>
        </is>
      </c>
      <c r="G549" s="12" t="n">
        <v>-135</v>
      </c>
      <c r="H549" s="14">
        <f>IF(OR(F549="",G549="",AND(I549&lt;&gt;"W",I549&lt;&gt;"L")),"",IF(I549="W",IF(G549&gt;0,G549/100,1),IF(G549&lt;0,G549/100,-1)))</f>
        <v/>
      </c>
      <c r="I549" s="11" t="inlineStr">
        <is>
          <t>W</t>
        </is>
      </c>
      <c r="J549" s="10" t="inlineStr">
        <is>
          <t>BOS 1, BUF 4</t>
        </is>
      </c>
      <c r="K549" s="10" t="inlineStr">
        <is>
          <t>DraftKings closing</t>
        </is>
      </c>
    </row>
    <row r="550">
      <c r="A550" s="9" t="n">
        <v>46018</v>
      </c>
      <c r="B550" s="10" t="inlineStr">
        <is>
          <t>OTT @ TOR</t>
        </is>
      </c>
      <c r="C550" s="13" t="n">
        <v>76.34999999999999</v>
      </c>
      <c r="D550" s="13" t="n">
        <v>73.01000000000001</v>
      </c>
      <c r="E550" s="13">
        <f>IF(OR(C550="",D550=""),"",ABS(C550-D550))</f>
        <v/>
      </c>
      <c r="F550" s="11" t="inlineStr">
        <is>
          <t>OTT</t>
        </is>
      </c>
      <c r="G550" s="12" t="n">
        <v>-125</v>
      </c>
      <c r="H550" s="14">
        <f>IF(OR(F550="",G550="",AND(I550&lt;&gt;"W",I550&lt;&gt;"L")),"",IF(I550="W",IF(G550&gt;0,G550/100,1),IF(G550&lt;0,G550/100,-1)))</f>
        <v/>
      </c>
      <c r="I550" s="11" t="inlineStr">
        <is>
          <t>L</t>
        </is>
      </c>
      <c r="J550" s="10" t="inlineStr">
        <is>
          <t>OTT 5, TOR 7</t>
        </is>
      </c>
      <c r="K550" s="10" t="inlineStr">
        <is>
          <t>DraftKings closing</t>
        </is>
      </c>
    </row>
    <row r="551">
      <c r="A551" s="9" t="n">
        <v>46018</v>
      </c>
      <c r="B551" s="10" t="inlineStr">
        <is>
          <t>TBL @ FLA</t>
        </is>
      </c>
      <c r="C551" s="13" t="n">
        <v>79.11</v>
      </c>
      <c r="D551" s="13" t="n">
        <v>78.37</v>
      </c>
      <c r="E551" s="13">
        <f>IF(OR(C551="",D551=""),"",ABS(C551-D551))</f>
        <v/>
      </c>
      <c r="F551" s="11" t="inlineStr">
        <is>
          <t>TBL</t>
        </is>
      </c>
      <c r="G551" s="12" t="n">
        <v>-118</v>
      </c>
      <c r="H551" s="14">
        <f>IF(OR(F551="",G551="",AND(I551&lt;&gt;"W",I551&lt;&gt;"L")),"",IF(I551="W",IF(G551&gt;0,G551/100,1),IF(G551&lt;0,G551/100,-1)))</f>
        <v/>
      </c>
      <c r="I551" s="11" t="inlineStr">
        <is>
          <t>W</t>
        </is>
      </c>
      <c r="J551" s="10" t="inlineStr">
        <is>
          <t>TBL 4, FLA 2</t>
        </is>
      </c>
      <c r="K551" s="10" t="inlineStr">
        <is>
          <t>DraftKings closing</t>
        </is>
      </c>
    </row>
    <row r="552">
      <c r="A552" s="9" t="n">
        <v>46018</v>
      </c>
      <c r="B552" s="10" t="inlineStr">
        <is>
          <t>WSH @ NJD</t>
        </is>
      </c>
      <c r="C552" s="13" t="n">
        <v>65.55</v>
      </c>
      <c r="D552" s="13" t="n">
        <v>67.64</v>
      </c>
      <c r="E552" s="13">
        <f>IF(OR(C552="",D552=""),"",ABS(C552-D552))</f>
        <v/>
      </c>
      <c r="F552" s="11" t="inlineStr">
        <is>
          <t>NJD</t>
        </is>
      </c>
      <c r="G552" s="12" t="n">
        <v>-120</v>
      </c>
      <c r="H552" s="14">
        <f>IF(OR(F552="",G552="",AND(I552&lt;&gt;"W",I552&lt;&gt;"L")),"",IF(I552="W",IF(G552&gt;0,G552/100,1),IF(G552&lt;0,G552/100,-1)))</f>
        <v/>
      </c>
      <c r="I552" s="11" t="inlineStr">
        <is>
          <t>L</t>
        </is>
      </c>
      <c r="J552" s="10" t="inlineStr">
        <is>
          <t>WSH 4, NJD 3</t>
        </is>
      </c>
      <c r="K552" s="10" t="inlineStr">
        <is>
          <t>DraftKings closing</t>
        </is>
      </c>
    </row>
    <row r="553">
      <c r="A553" s="9" t="n">
        <v>46018</v>
      </c>
      <c r="B553" s="10" t="inlineStr">
        <is>
          <t>DET @ CAR</t>
        </is>
      </c>
      <c r="C553" s="13" t="n">
        <v>67.84</v>
      </c>
      <c r="D553" s="13" t="n">
        <v>61.63</v>
      </c>
      <c r="E553" s="13">
        <f>IF(OR(C553="",D553=""),"",ABS(C553-D553))</f>
        <v/>
      </c>
      <c r="F553" s="11" t="inlineStr">
        <is>
          <t>DET</t>
        </is>
      </c>
      <c r="G553" s="12" t="n">
        <v>142</v>
      </c>
      <c r="H553" s="14">
        <f>IF(OR(F553="",G553="",AND(I553&lt;&gt;"W",I553&lt;&gt;"L")),"",IF(I553="W",IF(G553&gt;0,G553/100,1),IF(G553&lt;0,G553/100,-1)))</f>
        <v/>
      </c>
      <c r="I553" s="11" t="inlineStr">
        <is>
          <t>L</t>
        </is>
      </c>
      <c r="J553" s="10" t="inlineStr">
        <is>
          <t>DET 2, CAR 5</t>
        </is>
      </c>
      <c r="K553" s="10" t="inlineStr">
        <is>
          <t>DraftKings closing</t>
        </is>
      </c>
    </row>
    <row r="554">
      <c r="A554" s="9" t="n">
        <v>46018</v>
      </c>
      <c r="B554" s="10" t="inlineStr">
        <is>
          <t>MIN @ WPG</t>
        </is>
      </c>
      <c r="C554" s="13" t="n">
        <v>69.42</v>
      </c>
      <c r="D554" s="13" t="n">
        <v>66.94</v>
      </c>
      <c r="E554" s="13">
        <f>IF(OR(C554="",D554=""),"",ABS(C554-D554))</f>
        <v/>
      </c>
      <c r="F554" s="11" t="inlineStr">
        <is>
          <t>MIN</t>
        </is>
      </c>
      <c r="G554" s="12" t="n">
        <v>-115</v>
      </c>
      <c r="H554" s="14">
        <f>IF(OR(F554="",G554="",AND(I554&lt;&gt;"W",I554&lt;&gt;"L")),"",IF(I554="W",IF(G554&gt;0,G554/100,1),IF(G554&lt;0,G554/100,-1)))</f>
        <v/>
      </c>
      <c r="I554" s="11" t="inlineStr">
        <is>
          <t>W</t>
        </is>
      </c>
      <c r="J554" s="10" t="inlineStr">
        <is>
          <t>MIN 4, WPG 3</t>
        </is>
      </c>
      <c r="K554" s="10" t="inlineStr">
        <is>
          <t>DraftKings closing</t>
        </is>
      </c>
    </row>
    <row r="555">
      <c r="A555" s="9" t="n">
        <v>46018</v>
      </c>
      <c r="B555" s="10" t="inlineStr">
        <is>
          <t>NSH @ STL</t>
        </is>
      </c>
      <c r="C555" s="13" t="n">
        <v>70.58</v>
      </c>
      <c r="D555" s="13" t="n">
        <v>60.89</v>
      </c>
      <c r="E555" s="13">
        <f>IF(OR(C555="",D555=""),"",ABS(C555-D555))</f>
        <v/>
      </c>
      <c r="F555" s="11" t="inlineStr">
        <is>
          <t>NSH</t>
        </is>
      </c>
      <c r="G555" s="12" t="n">
        <v>-102</v>
      </c>
      <c r="H555" s="14">
        <f>IF(OR(F555="",G555="",AND(I555&lt;&gt;"W",I555&lt;&gt;"L")),"",IF(I555="W",IF(G555&gt;0,G555/100,1),IF(G555&lt;0,G555/100,-1)))</f>
        <v/>
      </c>
      <c r="I555" s="11" t="inlineStr">
        <is>
          <t>L</t>
        </is>
      </c>
      <c r="J555" s="10" t="inlineStr">
        <is>
          <t>NSH 2, STL 3</t>
        </is>
      </c>
      <c r="K555" s="10" t="inlineStr">
        <is>
          <t>DraftKings closing</t>
        </is>
      </c>
    </row>
    <row r="556">
      <c r="A556" s="9" t="n">
        <v>46018</v>
      </c>
      <c r="B556" s="10" t="inlineStr">
        <is>
          <t>CHI @ DAL</t>
        </is>
      </c>
      <c r="C556" s="13" t="n">
        <v>65.53</v>
      </c>
      <c r="D556" s="13" t="n">
        <v>72.16</v>
      </c>
      <c r="E556" s="13">
        <f>IF(OR(C556="",D556=""),"",ABS(C556-D556))</f>
        <v/>
      </c>
      <c r="F556" s="11" t="inlineStr">
        <is>
          <t>DAL</t>
        </is>
      </c>
      <c r="G556" s="12" t="n">
        <v>-360</v>
      </c>
      <c r="H556" s="14">
        <f>IF(OR(F556="",G556="",AND(I556&lt;&gt;"W",I556&lt;&gt;"L")),"",IF(I556="W",IF(G556&gt;0,G556/100,1),IF(G556&lt;0,G556/100,-1)))</f>
        <v/>
      </c>
      <c r="I556" s="11" t="inlineStr">
        <is>
          <t>L</t>
        </is>
      </c>
      <c r="J556" s="10" t="inlineStr">
        <is>
          <t>CHI 4, DAL 3</t>
        </is>
      </c>
      <c r="K556" s="10" t="inlineStr">
        <is>
          <t>DraftKings closing</t>
        </is>
      </c>
    </row>
    <row r="557">
      <c r="A557" s="9" t="n">
        <v>46018</v>
      </c>
      <c r="B557" s="10" t="inlineStr">
        <is>
          <t>ANA @ LAK</t>
        </is>
      </c>
      <c r="C557" s="13" t="n">
        <v>78.44</v>
      </c>
      <c r="D557" s="13" t="n">
        <v>75.70999999999999</v>
      </c>
      <c r="E557" s="13">
        <f>IF(OR(C557="",D557=""),"",ABS(C557-D557))</f>
        <v/>
      </c>
      <c r="F557" s="11" t="inlineStr">
        <is>
          <t>ANA</t>
        </is>
      </c>
      <c r="G557" s="12" t="n">
        <v>105</v>
      </c>
      <c r="H557" s="14">
        <f>IF(OR(F557="",G557="",AND(I557&lt;&gt;"W",I557&lt;&gt;"L")),"",IF(I557="W",IF(G557&gt;0,G557/100,1),IF(G557&lt;0,G557/100,-1)))</f>
        <v/>
      </c>
      <c r="I557" s="11" t="inlineStr">
        <is>
          <t>L</t>
        </is>
      </c>
      <c r="J557" s="10" t="inlineStr">
        <is>
          <t>ANA 1, LAK 6</t>
        </is>
      </c>
      <c r="K557" s="10" t="inlineStr">
        <is>
          <t>DraftKings closing</t>
        </is>
      </c>
    </row>
    <row r="558">
      <c r="A558" s="9" t="n">
        <v>46018</v>
      </c>
      <c r="B558" s="10" t="inlineStr">
        <is>
          <t>EDM @ CGY</t>
        </is>
      </c>
      <c r="C558" s="13" t="n">
        <v>93.79000000000001</v>
      </c>
      <c r="D558" s="13" t="n">
        <v>46.21</v>
      </c>
      <c r="E558" s="13">
        <f>IF(OR(C558="",D558=""),"",ABS(C558-D558))</f>
        <v/>
      </c>
      <c r="F558" s="11" t="inlineStr">
        <is>
          <t>EDM</t>
        </is>
      </c>
      <c r="G558" s="12" t="n">
        <v>-148</v>
      </c>
      <c r="H558" s="14">
        <f>IF(OR(F558="",G558="",AND(I558&lt;&gt;"W",I558&lt;&gt;"L")),"",IF(I558="W",IF(G558&gt;0,G558/100,1),IF(G558&lt;0,G558/100,-1)))</f>
        <v/>
      </c>
      <c r="I558" s="11" t="inlineStr">
        <is>
          <t>L</t>
        </is>
      </c>
      <c r="J558" s="10" t="inlineStr">
        <is>
          <t>EDM 2, CGY 3</t>
        </is>
      </c>
      <c r="K558" s="10" t="inlineStr">
        <is>
          <t>DraftKings closing</t>
        </is>
      </c>
    </row>
    <row r="559">
      <c r="A559" s="9" t="n">
        <v>46018</v>
      </c>
      <c r="B559" s="10" t="inlineStr">
        <is>
          <t>SJS @ VAN</t>
        </is>
      </c>
      <c r="C559" s="13" t="n">
        <v>51.78</v>
      </c>
      <c r="D559" s="13" t="n">
        <v>55.18</v>
      </c>
      <c r="E559" s="13">
        <f>IF(OR(C559="",D559=""),"",ABS(C559-D559))</f>
        <v/>
      </c>
      <c r="F559" s="11" t="inlineStr">
        <is>
          <t>VAN</t>
        </is>
      </c>
      <c r="G559" s="12" t="n">
        <v>-148</v>
      </c>
      <c r="H559" s="14">
        <f>IF(OR(F559="",G559="",AND(I559&lt;&gt;"W",I559&lt;&gt;"L")),"",IF(I559="W",IF(G559&gt;0,G559/100,1),IF(G559&lt;0,G559/100,-1)))</f>
        <v/>
      </c>
      <c r="I559" s="11" t="inlineStr">
        <is>
          <t>L</t>
        </is>
      </c>
      <c r="J559" s="10" t="inlineStr">
        <is>
          <t>SJS 6, VAN 3</t>
        </is>
      </c>
      <c r="K559" s="10" t="inlineStr">
        <is>
          <t>DraftKings closing</t>
        </is>
      </c>
    </row>
    <row r="560">
      <c r="A560" s="9" t="n">
        <v>46018</v>
      </c>
      <c r="B560" s="10" t="inlineStr">
        <is>
          <t>COL @ VGK</t>
        </is>
      </c>
      <c r="C560" s="13" t="n">
        <v>73.73999999999999</v>
      </c>
      <c r="D560" s="13" t="n">
        <v>88.22</v>
      </c>
      <c r="E560" s="13">
        <f>IF(OR(C560="",D560=""),"",ABS(C560-D560))</f>
        <v/>
      </c>
      <c r="F560" s="11" t="inlineStr">
        <is>
          <t>VGK</t>
        </is>
      </c>
      <c r="G560" s="12" t="n">
        <v>130</v>
      </c>
      <c r="H560" s="14">
        <f>IF(OR(F560="",G560="",AND(I560&lt;&gt;"W",I560&lt;&gt;"L")),"",IF(I560="W",IF(G560&gt;0,G560/100,1),IF(G560&lt;0,G560/100,-1)))</f>
        <v/>
      </c>
      <c r="I560" s="11" t="inlineStr">
        <is>
          <t>L</t>
        </is>
      </c>
      <c r="J560" s="10" t="inlineStr">
        <is>
          <t>COL 6, VGK 5</t>
        </is>
      </c>
      <c r="K560" s="10" t="inlineStr">
        <is>
          <t>DraftKings closing</t>
        </is>
      </c>
    </row>
    <row r="561">
      <c r="A561" s="9" t="n">
        <v>46019</v>
      </c>
      <c r="B561" s="10" t="inlineStr">
        <is>
          <t>MTL @ TBL</t>
        </is>
      </c>
      <c r="C561" s="13" t="n">
        <v>87.08</v>
      </c>
      <c r="D561" s="13" t="n">
        <v>70.41</v>
      </c>
      <c r="E561" s="13">
        <f>IF(OR(C561="",D561=""),"",ABS(C561-D561))</f>
        <v/>
      </c>
      <c r="F561" s="11" t="inlineStr">
        <is>
          <t>MTL</t>
        </is>
      </c>
      <c r="G561" s="12" t="n">
        <v>124</v>
      </c>
      <c r="H561" s="14">
        <f>IF(OR(F561="",G561="",AND(I561&lt;&gt;"W",I561&lt;&gt;"L")),"",IF(I561="W",IF(G561&gt;0,G561/100,1),IF(G561&lt;0,G561/100,-1)))</f>
        <v/>
      </c>
      <c r="I561" s="11" t="inlineStr">
        <is>
          <t>L</t>
        </is>
      </c>
      <c r="J561" s="10" t="inlineStr">
        <is>
          <t>MTL 4, TBL 5</t>
        </is>
      </c>
      <c r="K561" s="10" t="inlineStr">
        <is>
          <t>DraftKings closing</t>
        </is>
      </c>
    </row>
    <row r="562">
      <c r="A562" s="9" t="n">
        <v>46019</v>
      </c>
      <c r="B562" s="10" t="inlineStr">
        <is>
          <t>NYI @ CBJ</t>
        </is>
      </c>
      <c r="C562" s="13" t="n">
        <v>71.86</v>
      </c>
      <c r="D562" s="13" t="n">
        <v>75.73999999999999</v>
      </c>
      <c r="E562" s="13">
        <f>IF(OR(C562="",D562=""),"",ABS(C562-D562))</f>
        <v/>
      </c>
      <c r="F562" s="11" t="inlineStr">
        <is>
          <t>CBJ</t>
        </is>
      </c>
      <c r="G562" s="12" t="n">
        <v>-142</v>
      </c>
      <c r="H562" s="14">
        <f>IF(OR(F562="",G562="",AND(I562&lt;&gt;"W",I562&lt;&gt;"L")),"",IF(I562="W",IF(G562&gt;0,G562/100,1),IF(G562&lt;0,G562/100,-1)))</f>
        <v/>
      </c>
      <c r="I562" s="11" t="inlineStr">
        <is>
          <t>W</t>
        </is>
      </c>
      <c r="J562" s="10" t="inlineStr">
        <is>
          <t>NYI 2, CBJ 4</t>
        </is>
      </c>
      <c r="K562" s="10" t="inlineStr">
        <is>
          <t>DraftKings closing</t>
        </is>
      </c>
    </row>
    <row r="563">
      <c r="A563" s="9" t="n">
        <v>46019</v>
      </c>
      <c r="B563" s="10" t="inlineStr">
        <is>
          <t>TOR @ DET</t>
        </is>
      </c>
      <c r="C563" s="13" t="n">
        <v>70.81999999999999</v>
      </c>
      <c r="D563" s="13" t="n">
        <v>47.9</v>
      </c>
      <c r="E563" s="13">
        <f>IF(OR(C563="",D563=""),"",ABS(C563-D563))</f>
        <v/>
      </c>
      <c r="F563" s="11" t="inlineStr">
        <is>
          <t>TOR</t>
        </is>
      </c>
      <c r="G563" s="12" t="n">
        <v>120</v>
      </c>
      <c r="H563" s="14">
        <f>IF(OR(F563="",G563="",AND(I563&lt;&gt;"W",I563&lt;&gt;"L")),"",IF(I563="W",IF(G563&gt;0,G563/100,1),IF(G563&lt;0,G563/100,-1)))</f>
        <v/>
      </c>
      <c r="I563" s="11" t="inlineStr">
        <is>
          <t>L</t>
        </is>
      </c>
      <c r="J563" s="10" t="inlineStr">
        <is>
          <t>TOR 2, DET 3</t>
        </is>
      </c>
      <c r="K563" s="10" t="inlineStr">
        <is>
          <t>DraftKings closing</t>
        </is>
      </c>
    </row>
    <row r="564">
      <c r="A564" s="9" t="n">
        <v>46019</v>
      </c>
      <c r="B564" s="10" t="inlineStr">
        <is>
          <t>PIT @ CHI</t>
        </is>
      </c>
      <c r="C564" s="13" t="n">
        <v>66.98999999999999</v>
      </c>
      <c r="D564" s="13" t="n">
        <v>67.48</v>
      </c>
      <c r="E564" s="13">
        <f>IF(OR(C564="",D564=""),"",ABS(C564-D564))</f>
        <v/>
      </c>
      <c r="F564" s="11" t="inlineStr">
        <is>
          <t>CHI</t>
        </is>
      </c>
      <c r="G564" s="12" t="n">
        <v>130</v>
      </c>
      <c r="H564" s="14">
        <f>IF(OR(F564="",G564="",AND(I564&lt;&gt;"W",I564&lt;&gt;"L")),"",IF(I564="W",IF(G564&gt;0,G564/100,1),IF(G564&lt;0,G564/100,-1)))</f>
        <v/>
      </c>
      <c r="I564" s="11" t="inlineStr">
        <is>
          <t>L</t>
        </is>
      </c>
      <c r="J564" s="10" t="inlineStr">
        <is>
          <t>PIT 7, CHI 3</t>
        </is>
      </c>
      <c r="K564" s="10" t="inlineStr">
        <is>
          <t>DraftKings closing</t>
        </is>
      </c>
    </row>
    <row r="565">
      <c r="A565" s="9" t="n">
        <v>46019</v>
      </c>
      <c r="B565" s="10" t="inlineStr">
        <is>
          <t>PHI @ SEA</t>
        </is>
      </c>
      <c r="C565" s="13" t="n">
        <v>74.47</v>
      </c>
      <c r="D565" s="13" t="n">
        <v>64.29000000000001</v>
      </c>
      <c r="E565" s="13">
        <f>IF(OR(C565="",D565=""),"",ABS(C565-D565))</f>
        <v/>
      </c>
      <c r="F565" s="11" t="inlineStr">
        <is>
          <t>PHI</t>
        </is>
      </c>
      <c r="G565" s="12" t="n">
        <v>-142</v>
      </c>
      <c r="H565" s="14">
        <f>IF(OR(F565="",G565="",AND(I565&lt;&gt;"W",I565&lt;&gt;"L")),"",IF(I565="W",IF(G565&gt;0,G565/100,1),IF(G565&lt;0,G565/100,-1)))</f>
        <v/>
      </c>
      <c r="I565" s="11" t="inlineStr">
        <is>
          <t>L</t>
        </is>
      </c>
      <c r="J565" s="10" t="inlineStr">
        <is>
          <t>PHI 1, SEA 4</t>
        </is>
      </c>
      <c r="K565" s="10" t="inlineStr">
        <is>
          <t>DraftKings closing</t>
        </is>
      </c>
    </row>
    <row r="566">
      <c r="A566" s="9" t="n">
        <v>46020</v>
      </c>
      <c r="B566" s="10" t="inlineStr">
        <is>
          <t>WSH @ FLA</t>
        </is>
      </c>
      <c r="C566" s="13" t="n">
        <v>71.13</v>
      </c>
      <c r="D566" s="13" t="n">
        <v>69.59</v>
      </c>
      <c r="E566" s="13">
        <f>IF(OR(C566="",D566=""),"",ABS(C566-D566))</f>
        <v/>
      </c>
      <c r="F566" s="11" t="inlineStr">
        <is>
          <t>WSH</t>
        </is>
      </c>
      <c r="G566" s="12" t="n">
        <v>105</v>
      </c>
      <c r="H566" s="14">
        <f>IF(OR(F566="",G566="",AND(I566&lt;&gt;"W",I566&lt;&gt;"L")),"",IF(I566="W",IF(G566&gt;0,G566/100,1),IF(G566&lt;0,G566/100,-1)))</f>
        <v/>
      </c>
      <c r="I566" s="11" t="inlineStr">
        <is>
          <t>L</t>
        </is>
      </c>
      <c r="J566" s="10" t="inlineStr">
        <is>
          <t>WSH 3, FLA 5</t>
        </is>
      </c>
      <c r="K566" s="10" t="inlineStr">
        <is>
          <t>DraftKings closing</t>
        </is>
      </c>
    </row>
    <row r="567">
      <c r="A567" s="9" t="n">
        <v>46020</v>
      </c>
      <c r="B567" s="10" t="inlineStr">
        <is>
          <t>NYR @ CAR</t>
        </is>
      </c>
      <c r="C567" s="13" t="n">
        <v>68.14</v>
      </c>
      <c r="D567" s="13" t="n">
        <v>92.09999999999999</v>
      </c>
      <c r="E567" s="13">
        <f>IF(OR(C567="",D567=""),"",ABS(C567-D567))</f>
        <v/>
      </c>
      <c r="F567" s="11" t="inlineStr">
        <is>
          <t>CAR</t>
        </is>
      </c>
      <c r="G567" s="12" t="n">
        <v>-175</v>
      </c>
      <c r="H567" s="14">
        <f>IF(OR(F567="",G567="",AND(I567&lt;&gt;"W",I567&lt;&gt;"L")),"",IF(I567="W",IF(G567&gt;0,G567/100,1),IF(G567&lt;0,G567/100,-1)))</f>
        <v/>
      </c>
      <c r="I567" s="11" t="inlineStr">
        <is>
          <t>W</t>
        </is>
      </c>
      <c r="J567" s="10" t="inlineStr">
        <is>
          <t>NYR 2, CAR 3</t>
        </is>
      </c>
      <c r="K567" s="10" t="inlineStr">
        <is>
          <t>DraftKings closing</t>
        </is>
      </c>
    </row>
    <row r="568">
      <c r="A568" s="9" t="n">
        <v>46020</v>
      </c>
      <c r="B568" s="10" t="inlineStr">
        <is>
          <t>CBJ @ OTT</t>
        </is>
      </c>
      <c r="C568" s="13" t="n">
        <v>80.15000000000001</v>
      </c>
      <c r="D568" s="13" t="n">
        <v>69.18000000000001</v>
      </c>
      <c r="E568" s="13">
        <f>IF(OR(C568="",D568=""),"",ABS(C568-D568))</f>
        <v/>
      </c>
      <c r="F568" s="11" t="inlineStr">
        <is>
          <t>CBJ</t>
        </is>
      </c>
      <c r="G568" s="12" t="n">
        <v>180</v>
      </c>
      <c r="H568" s="14">
        <f>IF(OR(F568="",G568="",AND(I568&lt;&gt;"W",I568&lt;&gt;"L")),"",IF(I568="W",IF(G568&gt;0,G568/100,1),IF(G568&lt;0,G568/100,-1)))</f>
        <v/>
      </c>
      <c r="I568" s="11" t="inlineStr">
        <is>
          <t>W</t>
        </is>
      </c>
      <c r="J568" s="10" t="inlineStr">
        <is>
          <t>CBJ 4, OTT 1</t>
        </is>
      </c>
      <c r="K568" s="10" t="inlineStr">
        <is>
          <t>DraftKings closing</t>
        </is>
      </c>
    </row>
    <row r="569">
      <c r="A569" s="9" t="n">
        <v>46020</v>
      </c>
      <c r="B569" s="10" t="inlineStr">
        <is>
          <t>EDM @ WPG</t>
        </is>
      </c>
      <c r="C569" s="13" t="n">
        <v>67.39</v>
      </c>
      <c r="D569" s="13" t="n">
        <v>69.39</v>
      </c>
      <c r="E569" s="13">
        <f>IF(OR(C569="",D569=""),"",ABS(C569-D569))</f>
        <v/>
      </c>
      <c r="F569" s="11" t="inlineStr">
        <is>
          <t>WPG</t>
        </is>
      </c>
      <c r="G569" s="12" t="n">
        <v>-105</v>
      </c>
      <c r="H569" s="14">
        <f>IF(OR(F569="",G569="",AND(I569&lt;&gt;"W",I569&lt;&gt;"L")),"",IF(I569="W",IF(G569&gt;0,G569/100,1),IF(G569&lt;0,G569/100,-1)))</f>
        <v/>
      </c>
      <c r="I569" s="11" t="inlineStr">
        <is>
          <t>L</t>
        </is>
      </c>
      <c r="J569" s="10" t="inlineStr">
        <is>
          <t>EDM 3, WPG 1</t>
        </is>
      </c>
      <c r="K569" s="10" t="inlineStr">
        <is>
          <t>DraftKings closing</t>
        </is>
      </c>
    </row>
    <row r="570">
      <c r="A570" s="9" t="n">
        <v>46020</v>
      </c>
      <c r="B570" s="10" t="inlineStr">
        <is>
          <t>BUF @ STL</t>
        </is>
      </c>
      <c r="C570" s="13" t="n">
        <v>78.5</v>
      </c>
      <c r="D570" s="13" t="n">
        <v>65.94</v>
      </c>
      <c r="E570" s="13">
        <f>IF(OR(C570="",D570=""),"",ABS(C570-D570))</f>
        <v/>
      </c>
      <c r="F570" s="11" t="inlineStr">
        <is>
          <t>BUF</t>
        </is>
      </c>
      <c r="G570" s="12" t="n">
        <v>-115</v>
      </c>
      <c r="H570" s="14">
        <f>IF(OR(F570="",G570="",AND(I570&lt;&gt;"W",I570&lt;&gt;"L")),"",IF(I570="W",IF(G570&gt;0,G570/100,1),IF(G570&lt;0,G570/100,-1)))</f>
        <v/>
      </c>
      <c r="I570" s="11" t="inlineStr">
        <is>
          <t>W</t>
        </is>
      </c>
      <c r="J570" s="10" t="inlineStr">
        <is>
          <t>BUF 4, STL 2</t>
        </is>
      </c>
      <c r="K570" s="10" t="inlineStr">
        <is>
          <t>DraftKings closing</t>
        </is>
      </c>
    </row>
    <row r="571">
      <c r="A571" s="9" t="n">
        <v>46020</v>
      </c>
      <c r="B571" s="10" t="inlineStr">
        <is>
          <t>LAK @ COL</t>
        </is>
      </c>
      <c r="C571" s="13" t="n">
        <v>91.20999999999999</v>
      </c>
      <c r="D571" s="13" t="n">
        <v>84.84</v>
      </c>
      <c r="E571" s="13">
        <f>IF(OR(C571="",D571=""),"",ABS(C571-D571))</f>
        <v/>
      </c>
      <c r="F571" s="11" t="inlineStr">
        <is>
          <t>LAK</t>
        </is>
      </c>
      <c r="G571" s="12" t="n">
        <v>185</v>
      </c>
      <c r="H571" s="14">
        <f>IF(OR(F571="",G571="",AND(I571&lt;&gt;"W",I571&lt;&gt;"L")),"",IF(I571="W",IF(G571&gt;0,G571/100,1),IF(G571&lt;0,G571/100,-1)))</f>
        <v/>
      </c>
      <c r="I571" s="11" t="inlineStr">
        <is>
          <t>L</t>
        </is>
      </c>
      <c r="J571" s="10" t="inlineStr">
        <is>
          <t>LAK 2, COL 5</t>
        </is>
      </c>
      <c r="K571" s="10" t="inlineStr">
        <is>
          <t>DraftKings closing</t>
        </is>
      </c>
    </row>
    <row r="572">
      <c r="A572" s="9" t="n">
        <v>46020</v>
      </c>
      <c r="B572" s="10" t="inlineStr">
        <is>
          <t>NSH @ UTA</t>
        </is>
      </c>
      <c r="C572" s="13" t="n">
        <v>74.06</v>
      </c>
      <c r="D572" s="13" t="n">
        <v>66.26000000000001</v>
      </c>
      <c r="E572" s="13">
        <f>IF(OR(C572="",D572=""),"",ABS(C572-D572))</f>
        <v/>
      </c>
      <c r="F572" s="11" t="inlineStr">
        <is>
          <t>NSH</t>
        </is>
      </c>
      <c r="G572" s="12" t="n">
        <v>120</v>
      </c>
      <c r="H572" s="14">
        <f>IF(OR(F572="",G572="",AND(I572&lt;&gt;"W",I572&lt;&gt;"L")),"",IF(I572="W",IF(G572&gt;0,G572/100,1),IF(G572&lt;0,G572/100,-1)))</f>
        <v/>
      </c>
      <c r="I572" s="11" t="inlineStr">
        <is>
          <t>W</t>
        </is>
      </c>
      <c r="J572" s="10" t="inlineStr">
        <is>
          <t>NSH 4, UTA 3</t>
        </is>
      </c>
      <c r="K572" s="10" t="inlineStr">
        <is>
          <t>DraftKings closing</t>
        </is>
      </c>
    </row>
    <row r="573">
      <c r="A573" s="9" t="n">
        <v>46020</v>
      </c>
      <c r="B573" s="10" t="inlineStr">
        <is>
          <t>BOS @ CGY</t>
        </is>
      </c>
      <c r="C573" s="13" t="n">
        <v>61.5</v>
      </c>
      <c r="D573" s="13" t="n">
        <v>72.61</v>
      </c>
      <c r="E573" s="13">
        <f>IF(OR(C573="",D573=""),"",ABS(C573-D573))</f>
        <v/>
      </c>
      <c r="F573" s="11" t="inlineStr">
        <is>
          <t>CGY</t>
        </is>
      </c>
      <c r="G573" s="12" t="n">
        <v>-130</v>
      </c>
      <c r="H573" s="14">
        <f>IF(OR(F573="",G573="",AND(I573&lt;&gt;"W",I573&lt;&gt;"L")),"",IF(I573="W",IF(G573&gt;0,G573/100,1),IF(G573&lt;0,G573/100,-1)))</f>
        <v/>
      </c>
      <c r="I573" s="11" t="inlineStr">
        <is>
          <t>W</t>
        </is>
      </c>
      <c r="J573" s="10" t="inlineStr">
        <is>
          <t>BOS 1, CGY 2</t>
        </is>
      </c>
      <c r="K573" s="10" t="inlineStr">
        <is>
          <t>DraftKings closing</t>
        </is>
      </c>
    </row>
    <row r="574">
      <c r="A574" s="9" t="n">
        <v>46020</v>
      </c>
      <c r="B574" s="10" t="inlineStr">
        <is>
          <t>MIN @ VGK</t>
        </is>
      </c>
      <c r="C574" s="13" t="n">
        <v>70.61</v>
      </c>
      <c r="D574" s="13" t="n">
        <v>55.16</v>
      </c>
      <c r="E574" s="13">
        <f>IF(OR(C574="",D574=""),"",ABS(C574-D574))</f>
        <v/>
      </c>
      <c r="F574" s="11" t="inlineStr">
        <is>
          <t>MIN</t>
        </is>
      </c>
      <c r="G574" s="12" t="n">
        <v>-105</v>
      </c>
      <c r="H574" s="14">
        <f>IF(OR(F574="",G574="",AND(I574&lt;&gt;"W",I574&lt;&gt;"L")),"",IF(I574="W",IF(G574&gt;0,G574/100,1),IF(G574&lt;0,G574/100,-1)))</f>
        <v/>
      </c>
      <c r="I574" s="11" t="inlineStr">
        <is>
          <t>W</t>
        </is>
      </c>
      <c r="J574" s="10" t="inlineStr">
        <is>
          <t>MIN 5, VGK 2</t>
        </is>
      </c>
      <c r="K574" s="10" t="inlineStr">
        <is>
          <t>DraftKings closing</t>
        </is>
      </c>
    </row>
    <row r="575">
      <c r="A575" s="9" t="n">
        <v>46020</v>
      </c>
      <c r="B575" s="10" t="inlineStr">
        <is>
          <t>SJS @ ANA</t>
        </is>
      </c>
      <c r="C575" s="13" t="n">
        <v>84.28</v>
      </c>
      <c r="D575" s="13" t="n">
        <v>48.79</v>
      </c>
      <c r="E575" s="13">
        <f>IF(OR(C575="",D575=""),"",ABS(C575-D575))</f>
        <v/>
      </c>
      <c r="F575" s="11" t="inlineStr">
        <is>
          <t>SJS</t>
        </is>
      </c>
      <c r="G575" s="12" t="n">
        <v>142</v>
      </c>
      <c r="H575" s="14">
        <f>IF(OR(F575="",G575="",AND(I575&lt;&gt;"W",I575&lt;&gt;"L")),"",IF(I575="W",IF(G575&gt;0,G575/100,1),IF(G575&lt;0,G575/100,-1)))</f>
        <v/>
      </c>
      <c r="I575" s="11" t="inlineStr">
        <is>
          <t>W</t>
        </is>
      </c>
      <c r="J575" s="10" t="inlineStr">
        <is>
          <t>SJS 5, ANA 4</t>
        </is>
      </c>
      <c r="K575" s="10" t="inlineStr">
        <is>
          <t>DraftKings closing</t>
        </is>
      </c>
    </row>
    <row r="576">
      <c r="A576" s="9" t="n">
        <v>46020</v>
      </c>
      <c r="B576" s="10" t="inlineStr">
        <is>
          <t>VAN @ SEA</t>
        </is>
      </c>
      <c r="C576" s="13" t="n">
        <v>55.72</v>
      </c>
      <c r="D576" s="13" t="n">
        <v>65.09</v>
      </c>
      <c r="E576" s="13">
        <f>IF(OR(C576="",D576=""),"",ABS(C576-D576))</f>
        <v/>
      </c>
      <c r="F576" s="11" t="inlineStr">
        <is>
          <t>SEA</t>
        </is>
      </c>
      <c r="G576" s="12" t="n">
        <v>-102</v>
      </c>
      <c r="H576" s="14">
        <f>IF(OR(F576="",G576="",AND(I576&lt;&gt;"W",I576&lt;&gt;"L")),"",IF(I576="W",IF(G576&gt;0,G576/100,1),IF(G576&lt;0,G576/100,-1)))</f>
        <v/>
      </c>
      <c r="I576" s="11" t="inlineStr">
        <is>
          <t>L</t>
        </is>
      </c>
      <c r="J576" s="10" t="inlineStr">
        <is>
          <t>VAN 3, SEA 2</t>
        </is>
      </c>
      <c r="K576" s="10" t="inlineStr">
        <is>
          <t>DraftKings closing</t>
        </is>
      </c>
    </row>
    <row r="577">
      <c r="A577" s="9" t="n">
        <v>46021</v>
      </c>
      <c r="B577" s="10" t="inlineStr">
        <is>
          <t>NJD @ TOR</t>
        </is>
      </c>
      <c r="C577" s="13" t="n">
        <v>68.87</v>
      </c>
      <c r="D577" s="13" t="n">
        <v>62.72</v>
      </c>
      <c r="E577" s="13">
        <f>IF(OR(C577="",D577=""),"",ABS(C577-D577))</f>
        <v/>
      </c>
      <c r="F577" s="11" t="inlineStr">
        <is>
          <t>NJD</t>
        </is>
      </c>
      <c r="G577" s="12" t="n">
        <v>-142</v>
      </c>
      <c r="H577" s="14">
        <f>IF(OR(F577="",G577="",AND(I577&lt;&gt;"W",I577&lt;&gt;"L")),"",IF(I577="W",IF(G577&gt;0,G577/100,1),IF(G577&lt;0,G577/100,-1)))</f>
        <v/>
      </c>
      <c r="I577" s="11" t="inlineStr">
        <is>
          <t>L</t>
        </is>
      </c>
      <c r="J577" s="10" t="inlineStr">
        <is>
          <t>NJD 0, TOR 4</t>
        </is>
      </c>
      <c r="K577" s="10" t="inlineStr">
        <is>
          <t>DraftKings closing</t>
        </is>
      </c>
    </row>
    <row r="578">
      <c r="A578" s="9" t="n">
        <v>46021</v>
      </c>
      <c r="B578" s="10" t="inlineStr">
        <is>
          <t>MTL @ FLA</t>
        </is>
      </c>
      <c r="C578" s="13" t="n">
        <v>79.31</v>
      </c>
      <c r="D578" s="13" t="n">
        <v>80.25</v>
      </c>
      <c r="E578" s="13">
        <f>IF(OR(C578="",D578=""),"",ABS(C578-D578))</f>
        <v/>
      </c>
      <c r="F578" s="11" t="inlineStr">
        <is>
          <t>FLA</t>
        </is>
      </c>
      <c r="G578" s="12" t="n">
        <v>-125</v>
      </c>
      <c r="H578" s="14">
        <f>IF(OR(F578="",G578="",AND(I578&lt;&gt;"W",I578&lt;&gt;"L")),"",IF(I578="W",IF(G578&gt;0,G578/100,1),IF(G578&lt;0,G578/100,-1)))</f>
        <v/>
      </c>
      <c r="I578" s="11" t="inlineStr">
        <is>
          <t>L</t>
        </is>
      </c>
      <c r="J578" s="10" t="inlineStr">
        <is>
          <t>MTL 3, FLA 2</t>
        </is>
      </c>
      <c r="K578" s="10" t="inlineStr">
        <is>
          <t>DraftKings closing</t>
        </is>
      </c>
    </row>
    <row r="579">
      <c r="A579" s="9" t="n">
        <v>46021</v>
      </c>
      <c r="B579" s="10" t="inlineStr">
        <is>
          <t>CAR @ PIT</t>
        </is>
      </c>
      <c r="C579" s="13" t="n">
        <v>84.89</v>
      </c>
      <c r="D579" s="13" t="n">
        <v>77.16</v>
      </c>
      <c r="E579" s="13">
        <f>IF(OR(C579="",D579=""),"",ABS(C579-D579))</f>
        <v/>
      </c>
      <c r="F579" s="11" t="inlineStr">
        <is>
          <t>CAR</t>
        </is>
      </c>
      <c r="G579" s="12" t="n">
        <v>-130</v>
      </c>
      <c r="H579" s="14">
        <f>IF(OR(F579="",G579="",AND(I579&lt;&gt;"W",I579&lt;&gt;"L")),"",IF(I579="W",IF(G579&gt;0,G579/100,1),IF(G579&lt;0,G579/100,-1)))</f>
        <v/>
      </c>
      <c r="I579" s="11" t="inlineStr">
        <is>
          <t>L</t>
        </is>
      </c>
      <c r="J579" s="10" t="inlineStr">
        <is>
          <t>CAR 1, PIT 5</t>
        </is>
      </c>
      <c r="K579" s="10" t="inlineStr">
        <is>
          <t>DraftKings closing</t>
        </is>
      </c>
    </row>
    <row r="580">
      <c r="A580" s="9" t="n">
        <v>46021</v>
      </c>
      <c r="B580" s="10" t="inlineStr">
        <is>
          <t>NYI @ CHI</t>
        </is>
      </c>
      <c r="C580" s="13" t="n">
        <v>59.85</v>
      </c>
      <c r="D580" s="13" t="n">
        <v>62.84</v>
      </c>
      <c r="E580" s="13">
        <f>IF(OR(C580="",D580=""),"",ABS(C580-D580))</f>
        <v/>
      </c>
      <c r="F580" s="11" t="inlineStr">
        <is>
          <t>CHI</t>
        </is>
      </c>
      <c r="G580" s="12" t="n">
        <v>114</v>
      </c>
      <c r="H580" s="14">
        <f>IF(OR(F580="",G580="",AND(I580&lt;&gt;"W",I580&lt;&gt;"L")),"",IF(I580="W",IF(G580&gt;0,G580/100,1),IF(G580&lt;0,G580/100,-1)))</f>
        <v/>
      </c>
      <c r="I580" s="11" t="inlineStr">
        <is>
          <t>L</t>
        </is>
      </c>
      <c r="J580" s="10" t="inlineStr">
        <is>
          <t>NYI 3, CHI 2</t>
        </is>
      </c>
      <c r="K580" s="10" t="inlineStr">
        <is>
          <t>DraftKings closing</t>
        </is>
      </c>
    </row>
    <row r="581">
      <c r="A581" s="9" t="n">
        <v>46021</v>
      </c>
      <c r="B581" s="10" t="inlineStr">
        <is>
          <t>PHI @ VAN</t>
        </is>
      </c>
      <c r="C581" s="13" t="n">
        <v>74.91</v>
      </c>
      <c r="D581" s="13" t="n">
        <v>70.03</v>
      </c>
      <c r="E581" s="13">
        <f>IF(OR(C581="",D581=""),"",ABS(C581-D581))</f>
        <v/>
      </c>
      <c r="F581" s="11" t="inlineStr">
        <is>
          <t>PHI</t>
        </is>
      </c>
      <c r="G581" s="12" t="n">
        <v>-148</v>
      </c>
      <c r="H581" s="14">
        <f>IF(OR(F581="",G581="",AND(I581&lt;&gt;"W",I581&lt;&gt;"L")),"",IF(I581="W",IF(G581&gt;0,G581/100,1),IF(G581&lt;0,G581/100,-1)))</f>
        <v/>
      </c>
      <c r="I581" s="11" t="inlineStr">
        <is>
          <t>W</t>
        </is>
      </c>
      <c r="J581" s="10" t="inlineStr">
        <is>
          <t>PHI 6, VAN 3</t>
        </is>
      </c>
      <c r="K581" s="10" t="inlineStr">
        <is>
          <t>DraftKings closing</t>
        </is>
      </c>
    </row>
    <row r="582">
      <c r="A582" s="9" t="n">
        <v>46022</v>
      </c>
      <c r="B582" s="10" t="inlineStr">
        <is>
          <t>NYR @ WSH</t>
        </is>
      </c>
      <c r="C582" s="13" t="n">
        <v>55.11</v>
      </c>
      <c r="D582" s="13" t="n">
        <v>59.75</v>
      </c>
      <c r="E582" s="13">
        <f>IF(OR(C582="",D582=""),"",ABS(C582-D582))</f>
        <v/>
      </c>
      <c r="F582" s="11" t="inlineStr">
        <is>
          <t>WSH</t>
        </is>
      </c>
      <c r="G582" s="12" t="n">
        <v>-135</v>
      </c>
      <c r="H582" s="14">
        <f>IF(OR(F582="",G582="",AND(I582&lt;&gt;"W",I582&lt;&gt;"L")),"",IF(I582="W",IF(G582&gt;0,G582/100,1),IF(G582&lt;0,G582/100,-1)))</f>
        <v/>
      </c>
      <c r="I582" s="11" t="inlineStr">
        <is>
          <t>W</t>
        </is>
      </c>
      <c r="J582" s="10" t="inlineStr">
        <is>
          <t>NYR 3, WSH 6</t>
        </is>
      </c>
      <c r="K582" s="10" t="inlineStr">
        <is>
          <t>DraftKings closing</t>
        </is>
      </c>
    </row>
    <row r="583">
      <c r="A583" s="9" t="n">
        <v>46022</v>
      </c>
      <c r="B583" s="10" t="inlineStr">
        <is>
          <t>NSH @ VGK</t>
        </is>
      </c>
      <c r="C583" s="13" t="n">
        <v>64.81</v>
      </c>
      <c r="D583" s="13" t="n">
        <v>56.62</v>
      </c>
      <c r="E583" s="13">
        <f>IF(OR(C583="",D583=""),"",ABS(C583-D583))</f>
        <v/>
      </c>
      <c r="F583" s="11" t="inlineStr">
        <is>
          <t>NSH</t>
        </is>
      </c>
      <c r="G583" s="12" t="n">
        <v>145</v>
      </c>
      <c r="H583" s="14">
        <f>IF(OR(F583="",G583="",AND(I583&lt;&gt;"W",I583&lt;&gt;"L")),"",IF(I583="W",IF(G583&gt;0,G583/100,1),IF(G583&lt;0,G583/100,-1)))</f>
        <v/>
      </c>
      <c r="I583" s="11" t="inlineStr">
        <is>
          <t>W</t>
        </is>
      </c>
      <c r="J583" s="10" t="inlineStr">
        <is>
          <t>NSH 4, VGK 2</t>
        </is>
      </c>
      <c r="K583" s="10" t="inlineStr">
        <is>
          <t>DraftKings closing</t>
        </is>
      </c>
    </row>
    <row r="584">
      <c r="A584" s="9" t="n">
        <v>46022</v>
      </c>
      <c r="B584" s="10" t="inlineStr">
        <is>
          <t>TBL @ ANA</t>
        </is>
      </c>
      <c r="C584" s="13" t="n">
        <v>60.69</v>
      </c>
      <c r="D584" s="13" t="n">
        <v>80.28</v>
      </c>
      <c r="E584" s="13">
        <f>IF(OR(C584="",D584=""),"",ABS(C584-D584))</f>
        <v/>
      </c>
      <c r="F584" s="11" t="inlineStr">
        <is>
          <t>ANA</t>
        </is>
      </c>
      <c r="G584" s="12" t="n">
        <v>130</v>
      </c>
      <c r="H584" s="14">
        <f>IF(OR(F584="",G584="",AND(I584&lt;&gt;"W",I584&lt;&gt;"L")),"",IF(I584="W",IF(G584&gt;0,G584/100,1),IF(G584&lt;0,G584/100,-1)))</f>
        <v/>
      </c>
      <c r="I584" s="11" t="inlineStr">
        <is>
          <t>L</t>
        </is>
      </c>
      <c r="J584" s="10" t="inlineStr">
        <is>
          <t>TBL 4, ANA 3</t>
        </is>
      </c>
      <c r="K584" s="10" t="inlineStr">
        <is>
          <t>DraftKings closing</t>
        </is>
      </c>
    </row>
    <row r="585">
      <c r="A585" s="9" t="n">
        <v>46022</v>
      </c>
      <c r="B585" s="10" t="inlineStr">
        <is>
          <t>MIN @ SJS</t>
        </is>
      </c>
      <c r="C585" s="13" t="n">
        <v>83.38</v>
      </c>
      <c r="D585" s="13" t="n">
        <v>59.72</v>
      </c>
      <c r="E585" s="13">
        <f>IF(OR(C585="",D585=""),"",ABS(C585-D585))</f>
        <v/>
      </c>
      <c r="F585" s="11" t="inlineStr">
        <is>
          <t>MIN</t>
        </is>
      </c>
      <c r="G585" s="12" t="n">
        <v>-180</v>
      </c>
      <c r="H585" s="14">
        <f>IF(OR(F585="",G585="",AND(I585&lt;&gt;"W",I585&lt;&gt;"L")),"",IF(I585="W",IF(G585&gt;0,G585/100,1),IF(G585&lt;0,G585/100,-1)))</f>
        <v/>
      </c>
      <c r="I585" s="11" t="inlineStr">
        <is>
          <t>L</t>
        </is>
      </c>
      <c r="J585" s="10" t="inlineStr">
        <is>
          <t>MIN 3, SJS 4</t>
        </is>
      </c>
      <c r="K585" s="10" t="inlineStr">
        <is>
          <t>DraftKings closing</t>
        </is>
      </c>
    </row>
    <row r="586">
      <c r="A586" s="9" t="n">
        <v>46022</v>
      </c>
      <c r="B586" s="10" t="inlineStr">
        <is>
          <t>WPG @ DET</t>
        </is>
      </c>
      <c r="C586" s="13" t="n">
        <v>75.41</v>
      </c>
      <c r="D586" s="13" t="n">
        <v>77.28</v>
      </c>
      <c r="E586" s="13">
        <f>IF(OR(C586="",D586=""),"",ABS(C586-D586))</f>
        <v/>
      </c>
      <c r="F586" s="11" t="inlineStr">
        <is>
          <t>DET</t>
        </is>
      </c>
      <c r="G586" s="12" t="n">
        <v>-102</v>
      </c>
      <c r="H586" s="14">
        <f>IF(OR(F586="",G586="",AND(I586&lt;&gt;"W",I586&lt;&gt;"L")),"",IF(I586="W",IF(G586&gt;0,G586/100,1),IF(G586&lt;0,G586/100,-1)))</f>
        <v/>
      </c>
      <c r="I586" s="11" t="inlineStr">
        <is>
          <t>W</t>
        </is>
      </c>
      <c r="J586" s="10" t="inlineStr">
        <is>
          <t>WPG 1, DET 2</t>
        </is>
      </c>
      <c r="K586" s="10" t="inlineStr">
        <is>
          <t>DraftKings closing</t>
        </is>
      </c>
    </row>
    <row r="587">
      <c r="A587" s="9" t="n">
        <v>46022</v>
      </c>
      <c r="B587" s="10" t="inlineStr">
        <is>
          <t>NJD @ CBJ</t>
        </is>
      </c>
      <c r="C587" s="13" t="n">
        <v>65.23999999999999</v>
      </c>
      <c r="D587" s="13" t="n">
        <v>76.89</v>
      </c>
      <c r="E587" s="13">
        <f>IF(OR(C587="",D587=""),"",ABS(C587-D587))</f>
        <v/>
      </c>
      <c r="F587" s="11" t="inlineStr">
        <is>
          <t>CBJ</t>
        </is>
      </c>
      <c r="G587" s="12" t="n">
        <v>-118</v>
      </c>
      <c r="H587" s="14">
        <f>IF(OR(F587="",G587="",AND(I587&lt;&gt;"W",I587&lt;&gt;"L")),"",IF(I587="W",IF(G587&gt;0,G587/100,1),IF(G587&lt;0,G587/100,-1)))</f>
        <v/>
      </c>
      <c r="I587" s="11" t="inlineStr">
        <is>
          <t>L</t>
        </is>
      </c>
      <c r="J587" s="10" t="inlineStr">
        <is>
          <t>NJD 3, CBJ 2</t>
        </is>
      </c>
      <c r="K587" s="10" t="inlineStr">
        <is>
          <t>DraftKings closing</t>
        </is>
      </c>
    </row>
    <row r="588">
      <c r="A588" s="9" t="n">
        <v>46022</v>
      </c>
      <c r="B588" s="10" t="inlineStr">
        <is>
          <t>BUF @ DAL</t>
        </is>
      </c>
      <c r="C588" s="13" t="n">
        <v>84.19</v>
      </c>
      <c r="D588" s="13" t="n">
        <v>72.52</v>
      </c>
      <c r="E588" s="13">
        <f>IF(OR(C588="",D588=""),"",ABS(C588-D588))</f>
        <v/>
      </c>
      <c r="F588" s="11" t="inlineStr">
        <is>
          <t>BUF</t>
        </is>
      </c>
      <c r="G588" s="12" t="n">
        <v>130</v>
      </c>
      <c r="H588" s="14">
        <f>IF(OR(F588="",G588="",AND(I588&lt;&gt;"W",I588&lt;&gt;"L")),"",IF(I588="W",IF(G588&gt;0,G588/100,1),IF(G588&lt;0,G588/100,-1)))</f>
        <v/>
      </c>
      <c r="I588" s="11" t="inlineStr">
        <is>
          <t>W</t>
        </is>
      </c>
      <c r="J588" s="10" t="inlineStr">
        <is>
          <t>BUF 4, DAL 1</t>
        </is>
      </c>
      <c r="K588" s="10" t="inlineStr">
        <is>
          <t>DraftKings closing</t>
        </is>
      </c>
    </row>
    <row r="589">
      <c r="A589" s="9" t="n">
        <v>46022</v>
      </c>
      <c r="B589" s="10" t="inlineStr">
        <is>
          <t>STL @ COL</t>
        </is>
      </c>
      <c r="C589" s="13" t="n">
        <v>55.81</v>
      </c>
      <c r="D589" s="13" t="n">
        <v>78.44</v>
      </c>
      <c r="E589" s="13">
        <f>IF(OR(C589="",D589=""),"",ABS(C589-D589))</f>
        <v/>
      </c>
      <c r="F589" s="11" t="inlineStr">
        <is>
          <t>COL</t>
        </is>
      </c>
      <c r="G589" s="12" t="n">
        <v>-360</v>
      </c>
      <c r="H589" s="14">
        <f>IF(OR(F589="",G589="",AND(I589&lt;&gt;"W",I589&lt;&gt;"L")),"",IF(I589="W",IF(G589&gt;0,G589/100,1),IF(G589&lt;0,G589/100,-1)))</f>
        <v/>
      </c>
      <c r="I589" s="11" t="inlineStr">
        <is>
          <t>W</t>
        </is>
      </c>
      <c r="J589" s="10" t="inlineStr">
        <is>
          <t>STL 1, COL 6</t>
        </is>
      </c>
      <c r="K589" s="10" t="inlineStr">
        <is>
          <t>DraftKings closing</t>
        </is>
      </c>
    </row>
    <row r="590">
      <c r="A590" s="9" t="n">
        <v>46022</v>
      </c>
      <c r="B590" s="10" t="inlineStr">
        <is>
          <t>PHI @ CGY</t>
        </is>
      </c>
      <c r="C590" s="13" t="n">
        <v>75.58</v>
      </c>
      <c r="D590" s="13" t="n">
        <v>70.7</v>
      </c>
      <c r="E590" s="13">
        <f>IF(OR(C590="",D590=""),"",ABS(C590-D590))</f>
        <v/>
      </c>
      <c r="F590" s="11" t="inlineStr">
        <is>
          <t>PHI</t>
        </is>
      </c>
      <c r="G590" s="12" t="n">
        <v>114</v>
      </c>
      <c r="H590" s="14">
        <f>IF(OR(F590="",G590="",AND(I590&lt;&gt;"W",I590&lt;&gt;"L")),"",IF(I590="W",IF(G590&gt;0,G590/100,1),IF(G590&lt;0,G590/100,-1)))</f>
        <v/>
      </c>
      <c r="I590" s="11" t="inlineStr">
        <is>
          <t>L</t>
        </is>
      </c>
      <c r="J590" s="10" t="inlineStr">
        <is>
          <t>PHI 1, CGY 5</t>
        </is>
      </c>
      <c r="K590" s="10" t="inlineStr">
        <is>
          <t>DraftKings closing</t>
        </is>
      </c>
    </row>
    <row r="591">
      <c r="A591" s="9" t="n">
        <v>46022</v>
      </c>
      <c r="B591" s="10" t="inlineStr">
        <is>
          <t>BOS @ EDM</t>
        </is>
      </c>
      <c r="C591" s="13" t="n">
        <v>69.3</v>
      </c>
      <c r="D591" s="13" t="n">
        <v>64.59</v>
      </c>
      <c r="E591" s="13">
        <f>IF(OR(C591="",D591=""),"",ABS(C591-D591))</f>
        <v/>
      </c>
      <c r="F591" s="11" t="inlineStr">
        <is>
          <t>BOS</t>
        </is>
      </c>
      <c r="G591" s="12" t="n">
        <v>154</v>
      </c>
      <c r="H591" s="14">
        <f>IF(OR(F591="",G591="",AND(I591&lt;&gt;"W",I591&lt;&gt;"L")),"",IF(I591="W",IF(G591&gt;0,G591/100,1),IF(G591&lt;0,G591/100,-1)))</f>
        <v/>
      </c>
      <c r="I591" s="11" t="inlineStr">
        <is>
          <t>W</t>
        </is>
      </c>
      <c r="J591" s="10" t="inlineStr">
        <is>
          <t>BOS 6, EDM 2</t>
        </is>
      </c>
      <c r="K591" s="10" t="inlineStr">
        <is>
          <t>DraftKings closing</t>
        </is>
      </c>
    </row>
    <row r="592">
      <c r="A592" s="9" t="n">
        <v>46023</v>
      </c>
      <c r="B592" s="10" t="inlineStr">
        <is>
          <t>WSH @ OTT</t>
        </is>
      </c>
      <c r="C592" s="13" t="n">
        <v>76.43000000000001</v>
      </c>
      <c r="D592" s="13" t="n">
        <v>63.11</v>
      </c>
      <c r="E592" s="13">
        <f>IF(OR(C592="",D592=""),"",ABS(C592-D592))</f>
        <v/>
      </c>
      <c r="F592" s="11" t="inlineStr">
        <is>
          <t>WSH</t>
        </is>
      </c>
      <c r="G592" s="12" t="n">
        <v>130</v>
      </c>
      <c r="H592" s="14">
        <f>IF(OR(F592="",G592="",AND(I592&lt;&gt;"W",I592&lt;&gt;"L")),"",IF(I592="W",IF(G592&gt;0,G592/100,1),IF(G592&lt;0,G592/100,-1)))</f>
        <v/>
      </c>
      <c r="I592" s="11" t="inlineStr">
        <is>
          <t>L</t>
        </is>
      </c>
      <c r="J592" s="10" t="inlineStr">
        <is>
          <t>WSH 3, OTT 4</t>
        </is>
      </c>
      <c r="K592" s="10" t="inlineStr">
        <is>
          <t>DraftKings closing</t>
        </is>
      </c>
    </row>
    <row r="593">
      <c r="A593" s="9" t="n">
        <v>46023</v>
      </c>
      <c r="B593" s="10" t="inlineStr">
        <is>
          <t>UTA @ NYI</t>
        </is>
      </c>
      <c r="C593" s="13" t="n">
        <v>75.19</v>
      </c>
      <c r="D593" s="13" t="n">
        <v>71.86</v>
      </c>
      <c r="E593" s="13">
        <f>IF(OR(C593="",D593=""),"",ABS(C593-D593))</f>
        <v/>
      </c>
      <c r="F593" s="11" t="inlineStr">
        <is>
          <t>UTA</t>
        </is>
      </c>
      <c r="G593" s="12" t="n">
        <v>-125</v>
      </c>
      <c r="H593" s="14">
        <f>IF(OR(F593="",G593="",AND(I593&lt;&gt;"W",I593&lt;&gt;"L")),"",IF(I593="W",IF(G593&gt;0,G593/100,1),IF(G593&lt;0,G593/100,-1)))</f>
        <v/>
      </c>
      <c r="I593" s="11" t="inlineStr">
        <is>
          <t>W</t>
        </is>
      </c>
      <c r="J593" s="10" t="inlineStr">
        <is>
          <t>UTA 7, NYI 2</t>
        </is>
      </c>
      <c r="K593" s="10" t="inlineStr">
        <is>
          <t>DraftKings closing</t>
        </is>
      </c>
    </row>
    <row r="594">
      <c r="A594" s="9" t="n">
        <v>46023</v>
      </c>
      <c r="B594" s="10" t="inlineStr">
        <is>
          <t>WPG @ TOR</t>
        </is>
      </c>
      <c r="C594" s="13" t="n">
        <v>71.87</v>
      </c>
      <c r="D594" s="13" t="n">
        <v>74.76000000000001</v>
      </c>
      <c r="E594" s="13">
        <f>IF(OR(C594="",D594=""),"",ABS(C594-D594))</f>
        <v/>
      </c>
      <c r="F594" s="11" t="inlineStr">
        <is>
          <t>TOR</t>
        </is>
      </c>
      <c r="G594" s="12" t="n">
        <v>-130</v>
      </c>
      <c r="H594" s="14">
        <f>IF(OR(F594="",G594="",AND(I594&lt;&gt;"W",I594&lt;&gt;"L")),"",IF(I594="W",IF(G594&gt;0,G594/100,1),IF(G594&lt;0,G594/100,-1)))</f>
        <v/>
      </c>
      <c r="I594" s="11" t="inlineStr">
        <is>
          <t>W</t>
        </is>
      </c>
      <c r="J594" s="10" t="inlineStr">
        <is>
          <t>WPG 5, TOR 6</t>
        </is>
      </c>
      <c r="K594" s="10" t="inlineStr">
        <is>
          <t>DraftKings closing</t>
        </is>
      </c>
    </row>
    <row r="595">
      <c r="A595" s="9" t="n">
        <v>46023</v>
      </c>
      <c r="B595" s="10" t="inlineStr">
        <is>
          <t>DET @ PIT</t>
        </is>
      </c>
      <c r="C595" s="13" t="n">
        <v>68.13</v>
      </c>
      <c r="D595" s="13" t="n">
        <v>84.02</v>
      </c>
      <c r="E595" s="13">
        <f>IF(OR(C595="",D595=""),"",ABS(C595-D595))</f>
        <v/>
      </c>
      <c r="F595" s="11" t="inlineStr">
        <is>
          <t>PIT</t>
        </is>
      </c>
      <c r="G595" s="12" t="n">
        <v>-135</v>
      </c>
      <c r="H595" s="14">
        <f>IF(OR(F595="",G595="",AND(I595&lt;&gt;"W",I595&lt;&gt;"L")),"",IF(I595="W",IF(G595&gt;0,G595/100,1),IF(G595&lt;0,G595/100,-1)))</f>
        <v/>
      </c>
      <c r="I595" s="11" t="inlineStr">
        <is>
          <t>W</t>
        </is>
      </c>
      <c r="J595" s="10" t="inlineStr">
        <is>
          <t>DET 3, PIT 4</t>
        </is>
      </c>
      <c r="K595" s="10" t="inlineStr">
        <is>
          <t>DraftKings closing</t>
        </is>
      </c>
    </row>
    <row r="596">
      <c r="A596" s="9" t="n">
        <v>46023</v>
      </c>
      <c r="B596" s="10" t="inlineStr">
        <is>
          <t>MTL @ CAR</t>
        </is>
      </c>
      <c r="C596" s="13" t="n">
        <v>76.70999999999999</v>
      </c>
      <c r="D596" s="13" t="n">
        <v>55.98</v>
      </c>
      <c r="E596" s="13">
        <f>IF(OR(C596="",D596=""),"",ABS(C596-D596))</f>
        <v/>
      </c>
      <c r="F596" s="11" t="inlineStr">
        <is>
          <t>MTL</t>
        </is>
      </c>
      <c r="G596" s="12" t="n">
        <v>140</v>
      </c>
      <c r="H596" s="14">
        <f>IF(OR(F596="",G596="",AND(I596&lt;&gt;"W",I596&lt;&gt;"L")),"",IF(I596="W",IF(G596&gt;0,G596/100,1),IF(G596&lt;0,G596/100,-1)))</f>
        <v/>
      </c>
      <c r="I596" s="11" t="inlineStr">
        <is>
          <t>W</t>
        </is>
      </c>
      <c r="J596" s="10" t="inlineStr">
        <is>
          <t>MTL 7, CAR 5</t>
        </is>
      </c>
      <c r="K596" s="10" t="inlineStr">
        <is>
          <t>DraftKings closing</t>
        </is>
      </c>
    </row>
    <row r="597">
      <c r="A597" s="9" t="n">
        <v>46023</v>
      </c>
      <c r="B597" s="10" t="inlineStr">
        <is>
          <t>TBL @ LAK</t>
        </is>
      </c>
      <c r="C597" s="13" t="n">
        <v>72.48</v>
      </c>
      <c r="D597" s="13" t="n">
        <v>61.56</v>
      </c>
      <c r="E597" s="13">
        <f>IF(OR(C597="",D597=""),"",ABS(C597-D597))</f>
        <v/>
      </c>
      <c r="F597" s="11" t="inlineStr">
        <is>
          <t>TBL</t>
        </is>
      </c>
      <c r="G597" s="12" t="n">
        <v>105</v>
      </c>
      <c r="H597" s="14">
        <f>IF(OR(F597="",G597="",AND(I597&lt;&gt;"W",I597&lt;&gt;"L")),"",IF(I597="W",IF(G597&gt;0,G597/100,1),IF(G597&lt;0,G597/100,-1)))</f>
        <v/>
      </c>
      <c r="I597" s="11" t="inlineStr">
        <is>
          <t>W</t>
        </is>
      </c>
      <c r="J597" s="10" t="inlineStr">
        <is>
          <t>TBL 5, LAK 3</t>
        </is>
      </c>
      <c r="K597" s="10" t="inlineStr">
        <is>
          <t>DraftKings closing</t>
        </is>
      </c>
    </row>
    <row r="598">
      <c r="A598" s="9" t="n">
        <v>46023</v>
      </c>
      <c r="B598" s="10" t="inlineStr">
        <is>
          <t>DAL @ CHI</t>
        </is>
      </c>
      <c r="C598" s="13" t="n">
        <v>58.05</v>
      </c>
      <c r="D598" s="13" t="n">
        <v>68.14</v>
      </c>
      <c r="E598" s="13">
        <f>IF(OR(C598="",D598=""),"",ABS(C598-D598))</f>
        <v/>
      </c>
      <c r="F598" s="11" t="inlineStr">
        <is>
          <t>CHI</t>
        </is>
      </c>
      <c r="G598" s="12" t="n">
        <v>154</v>
      </c>
      <c r="H598" s="14">
        <f>IF(OR(F598="",G598="",AND(I598&lt;&gt;"W",I598&lt;&gt;"L")),"",IF(I598="W",IF(G598&gt;0,G598/100,1),IF(G598&lt;0,G598/100,-1)))</f>
        <v/>
      </c>
      <c r="I598" s="11" t="inlineStr">
        <is>
          <t>W</t>
        </is>
      </c>
      <c r="J598" s="10" t="inlineStr">
        <is>
          <t>DAL 3, CHI 4</t>
        </is>
      </c>
      <c r="K598" s="10" t="inlineStr">
        <is>
          <t>DraftKings closing</t>
        </is>
      </c>
    </row>
    <row r="599">
      <c r="A599" s="9" t="n">
        <v>46023</v>
      </c>
      <c r="B599" s="10" t="inlineStr">
        <is>
          <t>NSH @ SEA</t>
        </is>
      </c>
      <c r="C599" s="13" t="n">
        <v>71.77</v>
      </c>
      <c r="D599" s="13" t="n">
        <v>69.97</v>
      </c>
      <c r="E599" s="13">
        <f>IF(OR(C599="",D599=""),"",ABS(C599-D599))</f>
        <v/>
      </c>
      <c r="F599" s="11" t="inlineStr">
        <is>
          <t>NSH</t>
        </is>
      </c>
      <c r="G599" s="12" t="n">
        <v>-115</v>
      </c>
      <c r="H599" s="14">
        <f>IF(OR(F599="",G599="",AND(I599&lt;&gt;"W",I599&lt;&gt;"L")),"",IF(I599="W",IF(G599&gt;0,G599/100,1),IF(G599&lt;0,G599/100,-1)))</f>
        <v/>
      </c>
      <c r="I599" s="11" t="inlineStr">
        <is>
          <t>L</t>
        </is>
      </c>
      <c r="J599" s="10" t="inlineStr">
        <is>
          <t>NSH 1, SEA 4</t>
        </is>
      </c>
      <c r="K599" s="10" t="inlineStr">
        <is>
          <t>DraftKings closing</t>
        </is>
      </c>
    </row>
    <row r="600">
      <c r="A600" s="9" t="n">
        <v>46024</v>
      </c>
      <c r="B600" s="10" t="inlineStr">
        <is>
          <t>VGK @ STL</t>
        </is>
      </c>
      <c r="C600" s="13" t="n">
        <v>68.23</v>
      </c>
      <c r="D600" s="13" t="n">
        <v>35.17</v>
      </c>
      <c r="E600" s="13">
        <f>IF(OR(C600="",D600=""),"",ABS(C600-D600))</f>
        <v/>
      </c>
      <c r="F600" s="11" t="inlineStr">
        <is>
          <t>VGK</t>
        </is>
      </c>
      <c r="G600" s="12" t="n">
        <v>-155</v>
      </c>
      <c r="H600" s="14">
        <f>IF(OR(F600="",G600="",AND(I600&lt;&gt;"W",I600&lt;&gt;"L")),"",IF(I600="W",IF(G600&gt;0,G600/100,1),IF(G600&lt;0,G600/100,-1)))</f>
        <v/>
      </c>
      <c r="I600" s="11" t="inlineStr">
        <is>
          <t>L</t>
        </is>
      </c>
      <c r="J600" s="10" t="inlineStr">
        <is>
          <t>VGK 3, STL 4</t>
        </is>
      </c>
      <c r="K600" s="10" t="inlineStr">
        <is>
          <t>DraftKings closing</t>
        </is>
      </c>
    </row>
    <row r="601">
      <c r="A601" s="9" t="n">
        <v>46024</v>
      </c>
      <c r="B601" s="10" t="inlineStr">
        <is>
          <t>NYR @ FLA</t>
        </is>
      </c>
      <c r="C601" s="13" t="n">
        <v>63.57</v>
      </c>
      <c r="D601" s="13" t="n">
        <v>63.29</v>
      </c>
      <c r="E601" s="13">
        <f>IF(OR(C601="",D601=""),"",ABS(C601-D601))</f>
        <v/>
      </c>
      <c r="F601" s="11" t="inlineStr">
        <is>
          <t>NYR</t>
        </is>
      </c>
      <c r="G601" s="12" t="n">
        <v>114</v>
      </c>
      <c r="H601" s="14">
        <f>IF(OR(F601="",G601="",AND(I601&lt;&gt;"W",I601&lt;&gt;"L")),"",IF(I601="W",IF(G601&gt;0,G601/100,1),IF(G601&lt;0,G601/100,-1)))</f>
        <v/>
      </c>
      <c r="I601" s="11" t="inlineStr">
        <is>
          <t>W</t>
        </is>
      </c>
      <c r="J601" s="10" t="inlineStr">
        <is>
          <t>NYR 5, FLA 1</t>
        </is>
      </c>
      <c r="K601" s="10" t="inlineStr">
        <is>
          <t>DraftKings closing</t>
        </is>
      </c>
    </row>
    <row r="602">
      <c r="A602" s="9" t="n">
        <v>46024</v>
      </c>
      <c r="B602" s="10" t="inlineStr">
        <is>
          <t>SEA @ VAN</t>
        </is>
      </c>
      <c r="C602" s="13" t="n">
        <v>74.81</v>
      </c>
      <c r="D602" s="13" t="n">
        <v>64.42</v>
      </c>
      <c r="E602" s="13">
        <f>IF(OR(C602="",D602=""),"",ABS(C602-D602))</f>
        <v/>
      </c>
      <c r="F602" s="11" t="inlineStr">
        <is>
          <t>SEA</t>
        </is>
      </c>
      <c r="G602" s="12" t="n">
        <v>120</v>
      </c>
      <c r="H602" s="14">
        <f>IF(OR(F602="",G602="",AND(I602&lt;&gt;"W",I602&lt;&gt;"L")),"",IF(I602="W",IF(G602&gt;0,G602/100,1),IF(G602&lt;0,G602/100,-1)))</f>
        <v/>
      </c>
      <c r="I602" s="11" t="inlineStr">
        <is>
          <t>W</t>
        </is>
      </c>
      <c r="J602" s="10" t="inlineStr">
        <is>
          <t>SEA 4, VAN 3</t>
        </is>
      </c>
      <c r="K602" s="10" t="inlineStr">
        <is>
          <t>DraftKings closing</t>
        </is>
      </c>
    </row>
    <row r="603">
      <c r="A603" s="9" t="n">
        <v>46024</v>
      </c>
      <c r="B603" s="10" t="inlineStr">
        <is>
          <t>MIN @ ANA</t>
        </is>
      </c>
      <c r="C603" s="13" t="n">
        <v>73.93000000000001</v>
      </c>
      <c r="D603" s="13" t="n">
        <v>67.52</v>
      </c>
      <c r="E603" s="13">
        <f>IF(OR(C603="",D603=""),"",ABS(C603-D603))</f>
        <v/>
      </c>
      <c r="F603" s="11" t="inlineStr">
        <is>
          <t>MIN</t>
        </is>
      </c>
      <c r="G603" s="12" t="n">
        <v>-142</v>
      </c>
      <c r="H603" s="14">
        <f>IF(OR(F603="",G603="",AND(I603&lt;&gt;"W",I603&lt;&gt;"L")),"",IF(I603="W",IF(G603&gt;0,G603/100,1),IF(G603&lt;0,G603/100,-1)))</f>
        <v/>
      </c>
      <c r="I603" s="11" t="inlineStr">
        <is>
          <t>W</t>
        </is>
      </c>
      <c r="J603" s="10" t="inlineStr">
        <is>
          <t>MIN 5, ANA 2</t>
        </is>
      </c>
      <c r="K603" s="10" t="inlineStr">
        <is>
          <t>DraftKings closing</t>
        </is>
      </c>
    </row>
    <row r="604">
      <c r="A604" s="9" t="n">
        <v>46025</v>
      </c>
      <c r="B604" s="10" t="inlineStr">
        <is>
          <t>PIT @ DET</t>
        </is>
      </c>
      <c r="C604" s="13" t="n">
        <v>77.56</v>
      </c>
      <c r="D604" s="13" t="n">
        <v>62.44</v>
      </c>
      <c r="E604" s="13">
        <f>IF(OR(C604="",D604=""),"",ABS(C604-D604))</f>
        <v/>
      </c>
      <c r="F604" s="11" t="inlineStr">
        <is>
          <t>PIT</t>
        </is>
      </c>
      <c r="G604" s="12" t="n">
        <v>114</v>
      </c>
      <c r="H604" s="14">
        <f>IF(OR(F604="",G604="",AND(I604&lt;&gt;"W",I604&lt;&gt;"L")),"",IF(I604="W",IF(G604&gt;0,G604/100,1),IF(G604&lt;0,G604/100,-1)))</f>
        <v/>
      </c>
      <c r="I604" s="11" t="inlineStr">
        <is>
          <t>W</t>
        </is>
      </c>
      <c r="J604" s="10" t="inlineStr">
        <is>
          <t>PIT 4, DET 1</t>
        </is>
      </c>
      <c r="K604" s="10" t="inlineStr">
        <is>
          <t>DraftKings closing</t>
        </is>
      </c>
    </row>
    <row r="605">
      <c r="A605" s="9" t="n">
        <v>46025</v>
      </c>
      <c r="B605" s="10" t="inlineStr">
        <is>
          <t>UTA @ NJD</t>
        </is>
      </c>
      <c r="C605" s="13" t="n">
        <v>86.34</v>
      </c>
      <c r="D605" s="13" t="n">
        <v>66.01000000000001</v>
      </c>
      <c r="E605" s="13">
        <f>IF(OR(C605="",D605=""),"",ABS(C605-D605))</f>
        <v/>
      </c>
      <c r="F605" s="11" t="inlineStr">
        <is>
          <t>UTA</t>
        </is>
      </c>
      <c r="G605" s="12" t="n">
        <v>-102</v>
      </c>
      <c r="H605" s="14">
        <f>IF(OR(F605="",G605="",AND(I605&lt;&gt;"W",I605&lt;&gt;"L")),"",IF(I605="W",IF(G605&gt;0,G605/100,1),IF(G605&lt;0,G605/100,-1)))</f>
        <v/>
      </c>
      <c r="I605" s="11" t="inlineStr">
        <is>
          <t>L</t>
        </is>
      </c>
      <c r="J605" s="10" t="inlineStr">
        <is>
          <t>UTA 1, NJD 4</t>
        </is>
      </c>
      <c r="K605" s="10" t="inlineStr">
        <is>
          <t>DraftKings closing</t>
        </is>
      </c>
    </row>
    <row r="606">
      <c r="A606" s="9" t="n">
        <v>46025</v>
      </c>
      <c r="B606" s="10" t="inlineStr">
        <is>
          <t>BUF @ CBJ</t>
        </is>
      </c>
      <c r="C606" s="13" t="n">
        <v>81.95</v>
      </c>
      <c r="D606" s="13" t="n">
        <v>73.98999999999999</v>
      </c>
      <c r="E606" s="13">
        <f>IF(OR(C606="",D606=""),"",ABS(C606-D606))</f>
        <v/>
      </c>
      <c r="F606" s="11" t="inlineStr">
        <is>
          <t>BUF</t>
        </is>
      </c>
      <c r="G606" s="12" t="n">
        <v>-110</v>
      </c>
      <c r="H606" s="14">
        <f>IF(OR(F606="",G606="",AND(I606&lt;&gt;"W",I606&lt;&gt;"L")),"",IF(I606="W",IF(G606&gt;0,G606/100,1),IF(G606&lt;0,G606/100,-1)))</f>
        <v/>
      </c>
      <c r="I606" s="11" t="inlineStr">
        <is>
          <t>L</t>
        </is>
      </c>
      <c r="J606" s="10" t="inlineStr">
        <is>
          <t>BUF 1, CBJ 5</t>
        </is>
      </c>
      <c r="K606" s="10" t="inlineStr">
        <is>
          <t>DraftKings closing</t>
        </is>
      </c>
    </row>
    <row r="607">
      <c r="A607" s="9" t="n">
        <v>46025</v>
      </c>
      <c r="B607" s="10" t="inlineStr">
        <is>
          <t>PHI @ EDM</t>
        </is>
      </c>
      <c r="C607" s="13" t="n">
        <v>54.04</v>
      </c>
      <c r="D607" s="13" t="n">
        <v>60.41</v>
      </c>
      <c r="E607" s="13">
        <f>IF(OR(C607="",D607=""),"",ABS(C607-D607))</f>
        <v/>
      </c>
      <c r="F607" s="11" t="inlineStr">
        <is>
          <t>EDM</t>
        </is>
      </c>
      <c r="G607" s="12" t="n">
        <v>-155</v>
      </c>
      <c r="H607" s="14">
        <f>IF(OR(F607="",G607="",AND(I607&lt;&gt;"W",I607&lt;&gt;"L")),"",IF(I607="W",IF(G607&gt;0,G607/100,1),IF(G607&lt;0,G607/100,-1)))</f>
        <v/>
      </c>
      <c r="I607" s="11" t="inlineStr">
        <is>
          <t>L</t>
        </is>
      </c>
      <c r="J607" s="10" t="inlineStr">
        <is>
          <t>PHI 5, EDM 2</t>
        </is>
      </c>
      <c r="K607" s="10" t="inlineStr">
        <is>
          <t>DraftKings closing</t>
        </is>
      </c>
    </row>
    <row r="608">
      <c r="A608" s="9" t="n">
        <v>46025</v>
      </c>
      <c r="B608" s="10" t="inlineStr">
        <is>
          <t>MTL @ STL</t>
        </is>
      </c>
      <c r="C608" s="13" t="n">
        <v>70.91</v>
      </c>
      <c r="D608" s="13" t="n">
        <v>74.09999999999999</v>
      </c>
      <c r="E608" s="13">
        <f>IF(OR(C608="",D608=""),"",ABS(C608-D608))</f>
        <v/>
      </c>
      <c r="F608" s="11" t="inlineStr">
        <is>
          <t>STL</t>
        </is>
      </c>
      <c r="G608" s="12" t="n">
        <v>130</v>
      </c>
      <c r="H608" s="14">
        <f>IF(OR(F608="",G608="",AND(I608&lt;&gt;"W",I608&lt;&gt;"L")),"",IF(I608="W",IF(G608&gt;0,G608/100,1),IF(G608&lt;0,G608/100,-1)))</f>
        <v/>
      </c>
      <c r="I608" s="11" t="inlineStr">
        <is>
          <t>W</t>
        </is>
      </c>
      <c r="J608" s="10" t="inlineStr">
        <is>
          <t>MTL 0, STL 2</t>
        </is>
      </c>
      <c r="K608" s="10" t="inlineStr">
        <is>
          <t>DraftKings closing</t>
        </is>
      </c>
    </row>
    <row r="609">
      <c r="A609" s="9" t="n">
        <v>46025</v>
      </c>
      <c r="B609" s="10" t="inlineStr">
        <is>
          <t>TBL @ SJS</t>
        </is>
      </c>
      <c r="C609" s="13" t="n">
        <v>75.51000000000001</v>
      </c>
      <c r="D609" s="13" t="n">
        <v>66.06999999999999</v>
      </c>
      <c r="E609" s="13">
        <f>IF(OR(C609="",D609=""),"",ABS(C609-D609))</f>
        <v/>
      </c>
      <c r="F609" s="11" t="inlineStr">
        <is>
          <t>TBL</t>
        </is>
      </c>
      <c r="G609" s="12" t="n">
        <v>-218</v>
      </c>
      <c r="H609" s="14">
        <f>IF(OR(F609="",G609="",AND(I609&lt;&gt;"W",I609&lt;&gt;"L")),"",IF(I609="W",IF(G609&gt;0,G609/100,1),IF(G609&lt;0,G609/100,-1)))</f>
        <v/>
      </c>
      <c r="I609" s="11" t="inlineStr">
        <is>
          <t>W</t>
        </is>
      </c>
      <c r="J609" s="10" t="inlineStr">
        <is>
          <t>TBL 7, SJS 3</t>
        </is>
      </c>
      <c r="K609" s="10" t="inlineStr">
        <is>
          <t>DraftKings closing</t>
        </is>
      </c>
    </row>
    <row r="610">
      <c r="A610" s="9" t="n">
        <v>46025</v>
      </c>
      <c r="B610" s="10" t="inlineStr">
        <is>
          <t>WPG @ OTT</t>
        </is>
      </c>
      <c r="C610" s="13" t="n">
        <v>70.59999999999999</v>
      </c>
      <c r="D610" s="13" t="n">
        <v>75.7</v>
      </c>
      <c r="E610" s="13">
        <f>IF(OR(C610="",D610=""),"",ABS(C610-D610))</f>
        <v/>
      </c>
      <c r="F610" s="11" t="inlineStr">
        <is>
          <t>OTT</t>
        </is>
      </c>
      <c r="G610" s="12" t="n">
        <v>-120</v>
      </c>
      <c r="H610" s="14">
        <f>IF(OR(F610="",G610="",AND(I610&lt;&gt;"W",I610&lt;&gt;"L")),"",IF(I610="W",IF(G610&gt;0,G610/100,1),IF(G610&lt;0,G610/100,-1)))</f>
        <v/>
      </c>
      <c r="I610" s="11" t="inlineStr">
        <is>
          <t>W</t>
        </is>
      </c>
      <c r="J610" s="10" t="inlineStr">
        <is>
          <t>WPG 2, OTT 4</t>
        </is>
      </c>
      <c r="K610" s="10" t="inlineStr">
        <is>
          <t>DraftKings closing</t>
        </is>
      </c>
    </row>
    <row r="611">
      <c r="A611" s="9" t="n">
        <v>46025</v>
      </c>
      <c r="B611" s="10" t="inlineStr">
        <is>
          <t>TOR @ NYI</t>
        </is>
      </c>
      <c r="C611" s="13" t="n">
        <v>69.40000000000001</v>
      </c>
      <c r="D611" s="13" t="n">
        <v>53.66</v>
      </c>
      <c r="E611" s="13">
        <f>IF(OR(C611="",D611=""),"",ABS(C611-D611))</f>
        <v/>
      </c>
      <c r="F611" s="11" t="inlineStr">
        <is>
          <t>TOR</t>
        </is>
      </c>
      <c r="G611" s="12" t="n">
        <v>-115</v>
      </c>
      <c r="H611" s="14">
        <f>IF(OR(F611="",G611="",AND(I611&lt;&gt;"W",I611&lt;&gt;"L")),"",IF(I611="W",IF(G611&gt;0,G611/100,1),IF(G611&lt;0,G611/100,-1)))</f>
        <v/>
      </c>
      <c r="I611" s="11" t="inlineStr">
        <is>
          <t>L</t>
        </is>
      </c>
      <c r="J611" s="10" t="inlineStr">
        <is>
          <t>TOR 3, NYI 4</t>
        </is>
      </c>
      <c r="K611" s="10" t="inlineStr">
        <is>
          <t>DraftKings closing</t>
        </is>
      </c>
    </row>
    <row r="612">
      <c r="A612" s="9" t="n">
        <v>46025</v>
      </c>
      <c r="B612" s="10" t="inlineStr">
        <is>
          <t>CHI @ WSH</t>
        </is>
      </c>
      <c r="C612" s="13" t="n">
        <v>72.53</v>
      </c>
      <c r="D612" s="13" t="n">
        <v>64.3</v>
      </c>
      <c r="E612" s="13">
        <f>IF(OR(C612="",D612=""),"",ABS(C612-D612))</f>
        <v/>
      </c>
      <c r="F612" s="11" t="inlineStr">
        <is>
          <t>CHI</t>
        </is>
      </c>
      <c r="G612" s="12" t="n">
        <v>205</v>
      </c>
      <c r="H612" s="14">
        <f>IF(OR(F612="",G612="",AND(I612&lt;&gt;"W",I612&lt;&gt;"L")),"",IF(I612="W",IF(G612&gt;0,G612/100,1),IF(G612&lt;0,G612/100,-1)))</f>
        <v/>
      </c>
      <c r="I612" s="11" t="inlineStr">
        <is>
          <t>W</t>
        </is>
      </c>
      <c r="J612" s="10" t="inlineStr">
        <is>
          <t>CHI 3, WSH 2</t>
        </is>
      </c>
      <c r="K612" s="10" t="inlineStr">
        <is>
          <t>DraftKings closing</t>
        </is>
      </c>
    </row>
    <row r="613">
      <c r="A613" s="9" t="n">
        <v>46025</v>
      </c>
      <c r="B613" s="10" t="inlineStr">
        <is>
          <t>COL @ CAR</t>
        </is>
      </c>
      <c r="C613" s="13" t="n">
        <v>100</v>
      </c>
      <c r="D613" s="13" t="n">
        <v>69.09</v>
      </c>
      <c r="E613" s="13">
        <f>IF(OR(C613="",D613=""),"",ABS(C613-D613))</f>
        <v/>
      </c>
      <c r="F613" s="11" t="inlineStr">
        <is>
          <t>COL</t>
        </is>
      </c>
      <c r="G613" s="12" t="n">
        <v>-148</v>
      </c>
      <c r="H613" s="14">
        <f>IF(OR(F613="",G613="",AND(I613&lt;&gt;"W",I613&lt;&gt;"L")),"",IF(I613="W",IF(G613&gt;0,G613/100,1),IF(G613&lt;0,G613/100,-1)))</f>
        <v/>
      </c>
      <c r="I613" s="11" t="inlineStr">
        <is>
          <t>W</t>
        </is>
      </c>
      <c r="J613" s="10" t="inlineStr">
        <is>
          <t>COL 5, CAR 3</t>
        </is>
      </c>
      <c r="K613" s="10" t="inlineStr">
        <is>
          <t>DraftKings closing</t>
        </is>
      </c>
    </row>
    <row r="614">
      <c r="A614" s="9" t="n">
        <v>46025</v>
      </c>
      <c r="B614" s="10" t="inlineStr">
        <is>
          <t>NSH @ CGY</t>
        </is>
      </c>
      <c r="C614" s="13" t="n">
        <v>65.19</v>
      </c>
      <c r="D614" s="13" t="n">
        <v>85.95999999999999</v>
      </c>
      <c r="E614" s="13">
        <f>IF(OR(C614="",D614=""),"",ABS(C614-D614))</f>
        <v/>
      </c>
      <c r="F614" s="11" t="inlineStr">
        <is>
          <t>CGY</t>
        </is>
      </c>
      <c r="G614" s="12" t="n">
        <v>-115</v>
      </c>
      <c r="H614" s="14">
        <f>IF(OR(F614="",G614="",AND(I614&lt;&gt;"W",I614&lt;&gt;"L")),"",IF(I614="W",IF(G614&gt;0,G614/100,1),IF(G614&lt;0,G614/100,-1)))</f>
        <v/>
      </c>
      <c r="I614" s="11" t="inlineStr">
        <is>
          <t>L</t>
        </is>
      </c>
      <c r="J614" s="10" t="inlineStr">
        <is>
          <t>NSH 4, CGY 3</t>
        </is>
      </c>
      <c r="K614" s="10" t="inlineStr">
        <is>
          <t>DraftKings closing</t>
        </is>
      </c>
    </row>
    <row r="615">
      <c r="A615" s="9" t="n">
        <v>46025</v>
      </c>
      <c r="B615" s="10" t="inlineStr">
        <is>
          <t>MIN @ LAK</t>
        </is>
      </c>
      <c r="C615" s="13" t="n">
        <v>86.23</v>
      </c>
      <c r="D615" s="13" t="n">
        <v>64.48999999999999</v>
      </c>
      <c r="E615" s="13">
        <f>IF(OR(C615="",D615=""),"",ABS(C615-D615))</f>
        <v/>
      </c>
      <c r="F615" s="11" t="inlineStr">
        <is>
          <t>MIN</t>
        </is>
      </c>
      <c r="G615" s="12" t="n">
        <v>102</v>
      </c>
      <c r="H615" s="14">
        <f>IF(OR(F615="",G615="",AND(I615&lt;&gt;"W",I615&lt;&gt;"L")),"",IF(I615="W",IF(G615&gt;0,G615/100,1),IF(G615&lt;0,G615/100,-1)))</f>
        <v/>
      </c>
      <c r="I615" s="11" t="inlineStr">
        <is>
          <t>L</t>
        </is>
      </c>
      <c r="J615" s="10" t="inlineStr">
        <is>
          <t>MIN 4, LAK 5</t>
        </is>
      </c>
      <c r="K615" s="10" t="inlineStr">
        <is>
          <t>DraftKings closing</t>
        </is>
      </c>
    </row>
    <row r="616">
      <c r="A616" s="9" t="n">
        <v>46025</v>
      </c>
      <c r="B616" s="10" t="inlineStr">
        <is>
          <t>BOS @ VAN</t>
        </is>
      </c>
      <c r="C616" s="13" t="n">
        <v>79.59</v>
      </c>
      <c r="D616" s="13" t="n">
        <v>78.98999999999999</v>
      </c>
      <c r="E616" s="13">
        <f>IF(OR(C616="",D616=""),"",ABS(C616-D616))</f>
        <v/>
      </c>
      <c r="F616" s="11" t="inlineStr">
        <is>
          <t>BOS</t>
        </is>
      </c>
      <c r="G616" s="12" t="n">
        <v>-142</v>
      </c>
      <c r="H616" s="14">
        <f>IF(OR(F616="",G616="",AND(I616&lt;&gt;"W",I616&lt;&gt;"L")),"",IF(I616="W",IF(G616&gt;0,G616/100,1),IF(G616&lt;0,G616/100,-1)))</f>
        <v/>
      </c>
      <c r="I616" s="11" t="inlineStr">
        <is>
          <t>W</t>
        </is>
      </c>
      <c r="J616" s="10" t="inlineStr">
        <is>
          <t>BOS 3, VAN 2</t>
        </is>
      </c>
      <c r="K616" s="10" t="inlineStr">
        <is>
          <t>DraftKings closing</t>
        </is>
      </c>
    </row>
    <row r="617">
      <c r="A617" s="9" t="n">
        <v>46026</v>
      </c>
      <c r="B617" s="10" t="inlineStr">
        <is>
          <t>MTL @ DAL</t>
        </is>
      </c>
      <c r="C617" s="13" t="n">
        <v>67.81</v>
      </c>
      <c r="D617" s="13" t="n">
        <v>67.47</v>
      </c>
      <c r="E617" s="13">
        <f>IF(OR(C617="",D617=""),"",ABS(C617-D617))</f>
        <v/>
      </c>
      <c r="F617" s="11" t="inlineStr">
        <is>
          <t>MTL</t>
        </is>
      </c>
      <c r="G617" s="12" t="n">
        <v>154</v>
      </c>
      <c r="H617" s="14">
        <f>IF(OR(F617="",G617="",AND(I617&lt;&gt;"W",I617&lt;&gt;"L")),"",IF(I617="W",IF(G617&gt;0,G617/100,1),IF(G617&lt;0,G617/100,-1)))</f>
        <v/>
      </c>
      <c r="I617" s="11" t="inlineStr">
        <is>
          <t>W</t>
        </is>
      </c>
      <c r="J617" s="10" t="inlineStr">
        <is>
          <t>MTL 4, DAL 3</t>
        </is>
      </c>
      <c r="K617" s="10" t="inlineStr">
        <is>
          <t>DraftKings closing</t>
        </is>
      </c>
    </row>
    <row r="618">
      <c r="A618" s="9" t="n">
        <v>46026</v>
      </c>
      <c r="B618" s="10" t="inlineStr">
        <is>
          <t>PIT @ CBJ</t>
        </is>
      </c>
      <c r="C618" s="13" t="n">
        <v>79.28</v>
      </c>
      <c r="D618" s="13" t="n">
        <v>77.72</v>
      </c>
      <c r="E618" s="13">
        <f>IF(OR(C618="",D618=""),"",ABS(C618-D618))</f>
        <v/>
      </c>
      <c r="F618" s="11" t="inlineStr">
        <is>
          <t>PIT</t>
        </is>
      </c>
      <c r="G618" s="12" t="n">
        <v>110</v>
      </c>
      <c r="H618" s="14">
        <f>IF(OR(F618="",G618="",AND(I618&lt;&gt;"W",I618&lt;&gt;"L")),"",IF(I618="W",IF(G618&gt;0,G618/100,1),IF(G618&lt;0,G618/100,-1)))</f>
        <v/>
      </c>
      <c r="I618" s="11" t="inlineStr">
        <is>
          <t>W</t>
        </is>
      </c>
      <c r="J618" s="10" t="inlineStr">
        <is>
          <t>PIT 5, CBJ 4</t>
        </is>
      </c>
      <c r="K618" s="10" t="inlineStr">
        <is>
          <t>DraftKings closing</t>
        </is>
      </c>
    </row>
    <row r="619">
      <c r="A619" s="9" t="n">
        <v>46026</v>
      </c>
      <c r="B619" s="10" t="inlineStr">
        <is>
          <t>COL @ FLA</t>
        </is>
      </c>
      <c r="C619" s="13" t="n">
        <v>74.53</v>
      </c>
      <c r="D619" s="13" t="n">
        <v>69.61</v>
      </c>
      <c r="E619" s="13">
        <f>IF(OR(C619="",D619=""),"",ABS(C619-D619))</f>
        <v/>
      </c>
      <c r="F619" s="11" t="inlineStr">
        <is>
          <t>COL</t>
        </is>
      </c>
      <c r="G619" s="12" t="n">
        <v>-148</v>
      </c>
      <c r="H619" s="14">
        <f>IF(OR(F619="",G619="",AND(I619&lt;&gt;"W",I619&lt;&gt;"L")),"",IF(I619="W",IF(G619&gt;0,G619/100,1),IF(G619&lt;0,G619/100,-1)))</f>
        <v/>
      </c>
      <c r="I619" s="11" t="inlineStr">
        <is>
          <t>L</t>
        </is>
      </c>
      <c r="J619" s="10" t="inlineStr">
        <is>
          <t>COL 1, FLA 2</t>
        </is>
      </c>
      <c r="K619" s="10" t="inlineStr">
        <is>
          <t>DraftKings closing</t>
        </is>
      </c>
    </row>
    <row r="620">
      <c r="A620" s="9" t="n">
        <v>46026</v>
      </c>
      <c r="B620" s="10" t="inlineStr">
        <is>
          <t>CAR @ NJD</t>
        </is>
      </c>
      <c r="C620" s="13" t="n">
        <v>65.47</v>
      </c>
      <c r="D620" s="13" t="n">
        <v>76.17</v>
      </c>
      <c r="E620" s="13">
        <f>IF(OR(C620="",D620=""),"",ABS(C620-D620))</f>
        <v/>
      </c>
      <c r="F620" s="11" t="inlineStr">
        <is>
          <t>NJD</t>
        </is>
      </c>
      <c r="G620" s="12" t="n">
        <v>105</v>
      </c>
      <c r="H620" s="14">
        <f>IF(OR(F620="",G620="",AND(I620&lt;&gt;"W",I620&lt;&gt;"L")),"",IF(I620="W",IF(G620&gt;0,G620/100,1),IF(G620&lt;0,G620/100,-1)))</f>
        <v/>
      </c>
      <c r="I620" s="11" t="inlineStr">
        <is>
          <t>L</t>
        </is>
      </c>
      <c r="J620" s="10" t="inlineStr">
        <is>
          <t>CAR 3, NJD 1</t>
        </is>
      </c>
      <c r="K620" s="10" t="inlineStr">
        <is>
          <t>DraftKings closing</t>
        </is>
      </c>
    </row>
    <row r="621">
      <c r="A621" s="9" t="n">
        <v>46026</v>
      </c>
      <c r="B621" s="10" t="inlineStr">
        <is>
          <t>VGK @ CHI</t>
        </is>
      </c>
      <c r="C621" s="13" t="n">
        <v>65.90000000000001</v>
      </c>
      <c r="D621" s="13" t="n">
        <v>73.65000000000001</v>
      </c>
      <c r="E621" s="13">
        <f>IF(OR(C621="",D621=""),"",ABS(C621-D621))</f>
        <v/>
      </c>
      <c r="F621" s="11" t="inlineStr">
        <is>
          <t>CHI</t>
        </is>
      </c>
      <c r="G621" s="12" t="n">
        <v>215</v>
      </c>
      <c r="H621" s="14">
        <f>IF(OR(F621="",G621="",AND(I621&lt;&gt;"W",I621&lt;&gt;"L")),"",IF(I621="W",IF(G621&gt;0,G621/100,1),IF(G621&lt;0,G621/100,-1)))</f>
        <v/>
      </c>
      <c r="I621" s="11" t="inlineStr">
        <is>
          <t>W</t>
        </is>
      </c>
      <c r="J621" s="10" t="inlineStr">
        <is>
          <t>VGK 2, CHI 3</t>
        </is>
      </c>
      <c r="K621" s="10" t="inlineStr">
        <is>
          <t>DraftKings closing</t>
        </is>
      </c>
    </row>
    <row r="622">
      <c r="A622" s="9" t="n">
        <v>46027</v>
      </c>
      <c r="B622" s="10" t="inlineStr">
        <is>
          <t>UTA @ NYR</t>
        </is>
      </c>
      <c r="C622" s="13" t="n">
        <v>63.83</v>
      </c>
      <c r="D622" s="13" t="n">
        <v>70.39</v>
      </c>
      <c r="E622" s="13">
        <f>IF(OR(C622="",D622=""),"",ABS(C622-D622))</f>
        <v/>
      </c>
      <c r="F622" s="11" t="inlineStr">
        <is>
          <t>NYR</t>
        </is>
      </c>
      <c r="G622" s="12" t="n">
        <v>-108</v>
      </c>
      <c r="H622" s="14">
        <f>IF(OR(F622="",G622="",AND(I622&lt;&gt;"W",I622&lt;&gt;"L")),"",IF(I622="W",IF(G622&gt;0,G622/100,1),IF(G622&lt;0,G622/100,-1)))</f>
        <v/>
      </c>
      <c r="I622" s="11" t="inlineStr">
        <is>
          <t>L</t>
        </is>
      </c>
      <c r="J622" s="10" t="inlineStr">
        <is>
          <t>UTA 3, NYR 2</t>
        </is>
      </c>
      <c r="K622" s="10" t="inlineStr">
        <is>
          <t>DraftKings closing</t>
        </is>
      </c>
    </row>
    <row r="623">
      <c r="A623" s="9" t="n">
        <v>46027</v>
      </c>
      <c r="B623" s="10" t="inlineStr">
        <is>
          <t>ANA @ WSH</t>
        </is>
      </c>
      <c r="C623" s="13" t="n">
        <v>53.77</v>
      </c>
      <c r="D623" s="13" t="n">
        <v>66.34999999999999</v>
      </c>
      <c r="E623" s="13">
        <f>IF(OR(C623="",D623=""),"",ABS(C623-D623))</f>
        <v/>
      </c>
      <c r="F623" s="11" t="inlineStr">
        <is>
          <t>WSH</t>
        </is>
      </c>
      <c r="G623" s="12" t="n">
        <v>-130</v>
      </c>
      <c r="H623" s="14">
        <f>IF(OR(F623="",G623="",AND(I623&lt;&gt;"W",I623&lt;&gt;"L")),"",IF(I623="W",IF(G623&gt;0,G623/100,1),IF(G623&lt;0,G623/100,-1)))</f>
        <v/>
      </c>
      <c r="I623" s="11" t="inlineStr">
        <is>
          <t>W</t>
        </is>
      </c>
      <c r="J623" s="10" t="inlineStr">
        <is>
          <t>ANA 4, WSH 7</t>
        </is>
      </c>
      <c r="K623" s="10" t="inlineStr">
        <is>
          <t>DraftKings closing</t>
        </is>
      </c>
    </row>
    <row r="624">
      <c r="A624" s="9" t="n">
        <v>46027</v>
      </c>
      <c r="B624" s="10" t="inlineStr">
        <is>
          <t>DET @ OTT</t>
        </is>
      </c>
      <c r="C624" s="13" t="n">
        <v>60.72</v>
      </c>
      <c r="D624" s="13" t="n">
        <v>72.8</v>
      </c>
      <c r="E624" s="13">
        <f>IF(OR(C624="",D624=""),"",ABS(C624-D624))</f>
        <v/>
      </c>
      <c r="F624" s="11" t="inlineStr">
        <is>
          <t>OTT</t>
        </is>
      </c>
      <c r="G624" s="12" t="n">
        <v>-162</v>
      </c>
      <c r="H624" s="14">
        <f>IF(OR(F624="",G624="",AND(I624&lt;&gt;"W",I624&lt;&gt;"L")),"",IF(I624="W",IF(G624&gt;0,G624/100,1),IF(G624&lt;0,G624/100,-1)))</f>
        <v/>
      </c>
      <c r="I624" s="11" t="inlineStr">
        <is>
          <t>L</t>
        </is>
      </c>
      <c r="J624" s="10" t="inlineStr">
        <is>
          <t>DET 5, OTT 3</t>
        </is>
      </c>
      <c r="K624" s="10" t="inlineStr">
        <is>
          <t>DraftKings closing</t>
        </is>
      </c>
    </row>
    <row r="625">
      <c r="A625" s="9" t="n">
        <v>46027</v>
      </c>
      <c r="B625" s="10" t="inlineStr">
        <is>
          <t>SEA @ CGY</t>
        </is>
      </c>
      <c r="C625" s="13" t="n">
        <v>61.01</v>
      </c>
      <c r="D625" s="13" t="n">
        <v>61.47</v>
      </c>
      <c r="E625" s="13">
        <f>IF(OR(C625="",D625=""),"",ABS(C625-D625))</f>
        <v/>
      </c>
      <c r="F625" s="11" t="inlineStr">
        <is>
          <t>CGY</t>
        </is>
      </c>
      <c r="G625" s="12" t="n">
        <v>-155</v>
      </c>
      <c r="H625" s="14">
        <f>IF(OR(F625="",G625="",AND(I625&lt;&gt;"W",I625&lt;&gt;"L")),"",IF(I625="W",IF(G625&gt;0,G625/100,1),IF(G625&lt;0,G625/100,-1)))</f>
        <v/>
      </c>
      <c r="I625" s="11" t="inlineStr">
        <is>
          <t>L</t>
        </is>
      </c>
      <c r="J625" s="10" t="inlineStr">
        <is>
          <t>SEA 5, CGY 1</t>
        </is>
      </c>
      <c r="K625" s="10" t="inlineStr">
        <is>
          <t>DraftKings closing</t>
        </is>
      </c>
    </row>
    <row r="626">
      <c r="A626" s="9" t="n">
        <v>46027</v>
      </c>
      <c r="B626" s="10" t="inlineStr">
        <is>
          <t>MIN @ LAK</t>
        </is>
      </c>
      <c r="C626" s="13" t="n">
        <v>65.69</v>
      </c>
      <c r="D626" s="13" t="n">
        <v>74.31</v>
      </c>
      <c r="E626" s="13">
        <f>IF(OR(C626="",D626=""),"",ABS(C626-D626))</f>
        <v/>
      </c>
      <c r="F626" s="11" t="inlineStr">
        <is>
          <t>LAK</t>
        </is>
      </c>
      <c r="G626" s="12" t="n">
        <v>102</v>
      </c>
      <c r="H626" s="14">
        <f>IF(OR(F626="",G626="",AND(I626&lt;&gt;"W",I626&lt;&gt;"L")),"",IF(I626="W",IF(G626&gt;0,G626/100,1),IF(G626&lt;0,G626/100,-1)))</f>
        <v/>
      </c>
      <c r="I626" s="11" t="inlineStr">
        <is>
          <t>W</t>
        </is>
      </c>
      <c r="J626" s="10" t="inlineStr">
        <is>
          <t>MIN 2, LAK 4</t>
        </is>
      </c>
      <c r="K626" s="10" t="inlineStr">
        <is>
          <t>DraftKings closing</t>
        </is>
      </c>
    </row>
    <row r="627">
      <c r="A627" s="9" t="n">
        <v>46028</v>
      </c>
      <c r="B627" s="10" t="inlineStr">
        <is>
          <t>VAN @ BUF</t>
        </is>
      </c>
      <c r="C627" s="13" t="n">
        <v>69.98</v>
      </c>
      <c r="D627" s="13" t="n">
        <v>62.28</v>
      </c>
      <c r="E627" s="13">
        <f>IF(OR(C627="",D627=""),"",ABS(C627-D627))</f>
        <v/>
      </c>
      <c r="F627" s="11" t="inlineStr">
        <is>
          <t>VAN</t>
        </is>
      </c>
      <c r="G627" s="12" t="n">
        <v>142</v>
      </c>
      <c r="H627" s="14">
        <f>IF(OR(F627="",G627="",AND(I627&lt;&gt;"W",I627&lt;&gt;"L")),"",IF(I627="W",IF(G627&gt;0,G627/100,1),IF(G627&lt;0,G627/100,-1)))</f>
        <v/>
      </c>
      <c r="I627" s="11" t="inlineStr">
        <is>
          <t>L</t>
        </is>
      </c>
      <c r="J627" s="10" t="inlineStr">
        <is>
          <t>VAN 3, BUF 5</t>
        </is>
      </c>
      <c r="K627" s="10" t="inlineStr">
        <is>
          <t>DraftKings closing</t>
        </is>
      </c>
    </row>
    <row r="628">
      <c r="A628" s="9" t="n">
        <v>46028</v>
      </c>
      <c r="B628" s="10" t="inlineStr">
        <is>
          <t>COL @ TBL</t>
        </is>
      </c>
      <c r="C628" s="13" t="n">
        <v>69.97</v>
      </c>
      <c r="D628" s="13" t="n">
        <v>91.81</v>
      </c>
      <c r="E628" s="13">
        <f>IF(OR(C628="",D628=""),"",ABS(C628-D628))</f>
        <v/>
      </c>
      <c r="F628" s="11" t="inlineStr">
        <is>
          <t>TBL</t>
        </is>
      </c>
      <c r="G628" s="12" t="n">
        <v>-102</v>
      </c>
      <c r="H628" s="14">
        <f>IF(OR(F628="",G628="",AND(I628&lt;&gt;"W",I628&lt;&gt;"L")),"",IF(I628="W",IF(G628&gt;0,G628/100,1),IF(G628&lt;0,G628/100,-1)))</f>
        <v/>
      </c>
      <c r="I628" s="11" t="inlineStr">
        <is>
          <t>W</t>
        </is>
      </c>
      <c r="J628" s="10" t="inlineStr">
        <is>
          <t>COL 2, TBL 4</t>
        </is>
      </c>
      <c r="K628" s="10" t="inlineStr">
        <is>
          <t>DraftKings closing</t>
        </is>
      </c>
    </row>
    <row r="629">
      <c r="A629" s="9" t="n">
        <v>46028</v>
      </c>
      <c r="B629" s="10" t="inlineStr">
        <is>
          <t>ANA @ PHI</t>
        </is>
      </c>
      <c r="C629" s="13" t="n">
        <v>76.73</v>
      </c>
      <c r="D629" s="13" t="n">
        <v>81.79000000000001</v>
      </c>
      <c r="E629" s="13">
        <f>IF(OR(C629="",D629=""),"",ABS(C629-D629))</f>
        <v/>
      </c>
      <c r="F629" s="11" t="inlineStr">
        <is>
          <t>PHI</t>
        </is>
      </c>
      <c r="G629" s="12" t="n">
        <v>-155</v>
      </c>
      <c r="H629" s="14">
        <f>IF(OR(F629="",G629="",AND(I629&lt;&gt;"W",I629&lt;&gt;"L")),"",IF(I629="W",IF(G629&gt;0,G629/100,1),IF(G629&lt;0,G629/100,-1)))</f>
        <v/>
      </c>
      <c r="I629" s="11" t="inlineStr">
        <is>
          <t>W</t>
        </is>
      </c>
      <c r="J629" s="10" t="inlineStr">
        <is>
          <t>ANA 2, PHI 5</t>
        </is>
      </c>
      <c r="K629" s="10" t="inlineStr">
        <is>
          <t>DraftKings closing</t>
        </is>
      </c>
    </row>
    <row r="630">
      <c r="A630" s="9" t="n">
        <v>46028</v>
      </c>
      <c r="B630" s="10" t="inlineStr">
        <is>
          <t>DAL @ CAR</t>
        </is>
      </c>
      <c r="C630" s="13" t="n">
        <v>69.18000000000001</v>
      </c>
      <c r="D630" s="13" t="n">
        <v>78.53</v>
      </c>
      <c r="E630" s="13">
        <f>IF(OR(C630="",D630=""),"",ABS(C630-D630))</f>
        <v/>
      </c>
      <c r="F630" s="11" t="inlineStr">
        <is>
          <t>CAR</t>
        </is>
      </c>
      <c r="G630" s="12" t="n">
        <v>-142</v>
      </c>
      <c r="H630" s="14">
        <f>IF(OR(F630="",G630="",AND(I630&lt;&gt;"W",I630&lt;&gt;"L")),"",IF(I630="W",IF(G630&gt;0,G630/100,1),IF(G630&lt;0,G630/100,-1)))</f>
        <v/>
      </c>
      <c r="I630" s="11" t="inlineStr">
        <is>
          <t>W</t>
        </is>
      </c>
      <c r="J630" s="10" t="inlineStr">
        <is>
          <t>DAL 3, CAR 6</t>
        </is>
      </c>
      <c r="K630" s="10" t="inlineStr">
        <is>
          <t>DraftKings closing</t>
        </is>
      </c>
    </row>
    <row r="631">
      <c r="A631" s="9" t="n">
        <v>46028</v>
      </c>
      <c r="B631" s="10" t="inlineStr">
        <is>
          <t>NJD @ NYI</t>
        </is>
      </c>
      <c r="C631" s="13" t="n">
        <v>61.47</v>
      </c>
      <c r="D631" s="13" t="n">
        <v>72.31999999999999</v>
      </c>
      <c r="E631" s="13">
        <f>IF(OR(C631="",D631=""),"",ABS(C631-D631))</f>
        <v/>
      </c>
      <c r="F631" s="11" t="inlineStr">
        <is>
          <t>NYI</t>
        </is>
      </c>
      <c r="G631" s="12" t="n">
        <v>102</v>
      </c>
      <c r="H631" s="14">
        <f>IF(OR(F631="",G631="",AND(I631&lt;&gt;"W",I631&lt;&gt;"L")),"",IF(I631="W",IF(G631&gt;0,G631/100,1),IF(G631&lt;0,G631/100,-1)))</f>
        <v/>
      </c>
      <c r="I631" s="11" t="inlineStr">
        <is>
          <t>W</t>
        </is>
      </c>
      <c r="J631" s="10" t="inlineStr">
        <is>
          <t>NJD 0, NYI 9</t>
        </is>
      </c>
      <c r="K631" s="10" t="inlineStr">
        <is>
          <t>DraftKings closing</t>
        </is>
      </c>
    </row>
    <row r="632">
      <c r="A632" s="9" t="n">
        <v>46028</v>
      </c>
      <c r="B632" s="10" t="inlineStr">
        <is>
          <t>FLA @ TOR</t>
        </is>
      </c>
      <c r="C632" s="13" t="n">
        <v>70.03</v>
      </c>
      <c r="D632" s="13" t="n">
        <v>67.68000000000001</v>
      </c>
      <c r="E632" s="13">
        <f>IF(OR(C632="",D632=""),"",ABS(C632-D632))</f>
        <v/>
      </c>
      <c r="F632" s="11" t="inlineStr">
        <is>
          <t>FLA</t>
        </is>
      </c>
      <c r="G632" s="12" t="n">
        <v>-135</v>
      </c>
      <c r="H632" s="14">
        <f>IF(OR(F632="",G632="",AND(I632&lt;&gt;"W",I632&lt;&gt;"L")),"",IF(I632="W",IF(G632&gt;0,G632/100,1),IF(G632&lt;0,G632/100,-1)))</f>
        <v/>
      </c>
      <c r="I632" s="11" t="inlineStr">
        <is>
          <t>L</t>
        </is>
      </c>
      <c r="J632" s="10" t="inlineStr">
        <is>
          <t>FLA 1, TOR 4</t>
        </is>
      </c>
      <c r="K632" s="10" t="inlineStr">
        <is>
          <t>DraftKings closing</t>
        </is>
      </c>
    </row>
    <row r="633">
      <c r="A633" s="9" t="n">
        <v>46028</v>
      </c>
      <c r="B633" s="10" t="inlineStr">
        <is>
          <t>VGK @ WPG</t>
        </is>
      </c>
      <c r="C633" s="13" t="n">
        <v>64.73</v>
      </c>
      <c r="D633" s="13" t="n">
        <v>67.2</v>
      </c>
      <c r="E633" s="13">
        <f>IF(OR(C633="",D633=""),"",ABS(C633-D633))</f>
        <v/>
      </c>
      <c r="F633" s="11" t="inlineStr">
        <is>
          <t>WPG</t>
        </is>
      </c>
      <c r="G633" s="12" t="n">
        <v>-118</v>
      </c>
      <c r="H633" s="14">
        <f>IF(OR(F633="",G633="",AND(I633&lt;&gt;"W",I633&lt;&gt;"L")),"",IF(I633="W",IF(G633&gt;0,G633/100,1),IF(G633&lt;0,G633/100,-1)))</f>
        <v/>
      </c>
      <c r="I633" s="11" t="inlineStr">
        <is>
          <t>L</t>
        </is>
      </c>
      <c r="J633" s="10" t="inlineStr">
        <is>
          <t>VGK 4, WPG 3</t>
        </is>
      </c>
      <c r="K633" s="10" t="inlineStr">
        <is>
          <t>DraftKings closing</t>
        </is>
      </c>
    </row>
    <row r="634">
      <c r="A634" s="9" t="n">
        <v>46028</v>
      </c>
      <c r="B634" s="10" t="inlineStr">
        <is>
          <t>NSH @ EDM</t>
        </is>
      </c>
      <c r="C634" s="13" t="n">
        <v>78.53</v>
      </c>
      <c r="D634" s="13" t="n">
        <v>58.21</v>
      </c>
      <c r="E634" s="13">
        <f>IF(OR(C634="",D634=""),"",ABS(C634-D634))</f>
        <v/>
      </c>
      <c r="F634" s="11" t="inlineStr">
        <is>
          <t>NSH</t>
        </is>
      </c>
      <c r="G634" s="12" t="n">
        <v>124</v>
      </c>
      <c r="H634" s="14">
        <f>IF(OR(F634="",G634="",AND(I634&lt;&gt;"W",I634&lt;&gt;"L")),"",IF(I634="W",IF(G634&gt;0,G634/100,1),IF(G634&lt;0,G634/100,-1)))</f>
        <v/>
      </c>
      <c r="I634" s="11" t="inlineStr">
        <is>
          <t>L</t>
        </is>
      </c>
      <c r="J634" s="10" t="inlineStr">
        <is>
          <t>NSH 2, EDM 6</t>
        </is>
      </c>
      <c r="K634" s="10" t="inlineStr">
        <is>
          <t>DraftKings closing</t>
        </is>
      </c>
    </row>
    <row r="635">
      <c r="A635" s="9" t="n">
        <v>46028</v>
      </c>
      <c r="B635" s="10" t="inlineStr">
        <is>
          <t>CBJ @ SJS</t>
        </is>
      </c>
      <c r="C635" s="13" t="n">
        <v>57.19</v>
      </c>
      <c r="D635" s="13" t="n">
        <v>48.19</v>
      </c>
      <c r="E635" s="13">
        <f>IF(OR(C635="",D635=""),"",ABS(C635-D635))</f>
        <v/>
      </c>
      <c r="F635" s="11" t="inlineStr">
        <is>
          <t>CBJ</t>
        </is>
      </c>
      <c r="G635" s="12" t="n">
        <v>-142</v>
      </c>
      <c r="H635" s="14">
        <f>IF(OR(F635="",G635="",AND(I635&lt;&gt;"W",I635&lt;&gt;"L")),"",IF(I635="W",IF(G635&gt;0,G635/100,1),IF(G635&lt;0,G635/100,-1)))</f>
        <v/>
      </c>
      <c r="I635" s="11" t="inlineStr">
        <is>
          <t>L</t>
        </is>
      </c>
      <c r="J635" s="10" t="inlineStr">
        <is>
          <t>CBJ 2, SJS 5</t>
        </is>
      </c>
      <c r="K635" s="10" t="inlineStr">
        <is>
          <t>DraftKings closing</t>
        </is>
      </c>
    </row>
    <row r="636">
      <c r="A636" s="9" t="n">
        <v>46028</v>
      </c>
      <c r="B636" s="10" t="inlineStr">
        <is>
          <t>BOS @ SEA</t>
        </is>
      </c>
      <c r="C636" s="13" t="n">
        <v>70.02</v>
      </c>
      <c r="D636" s="13" t="n">
        <v>72.09999999999999</v>
      </c>
      <c r="E636" s="13">
        <f>IF(OR(C636="",D636=""),"",ABS(C636-D636))</f>
        <v/>
      </c>
      <c r="F636" s="11" t="inlineStr">
        <is>
          <t>SEA</t>
        </is>
      </c>
      <c r="G636" s="12" t="n">
        <v>100</v>
      </c>
      <c r="H636" s="14">
        <f>IF(OR(F636="",G636="",AND(I636&lt;&gt;"W",I636&lt;&gt;"L")),"",IF(I636="W",IF(G636&gt;0,G636/100,1),IF(G636&lt;0,G636/100,-1)))</f>
        <v/>
      </c>
      <c r="I636" s="11" t="inlineStr">
        <is>
          <t>W</t>
        </is>
      </c>
      <c r="J636" s="10" t="inlineStr">
        <is>
          <t>BOS 4, SEA 7</t>
        </is>
      </c>
      <c r="K636" s="10" t="inlineStr">
        <is>
          <t>DraftKings closing</t>
        </is>
      </c>
    </row>
    <row r="637">
      <c r="A637" s="9" t="n">
        <v>46029</v>
      </c>
      <c r="B637" s="10" t="inlineStr">
        <is>
          <t>DAL @ WSH</t>
        </is>
      </c>
      <c r="C637" s="13" t="n">
        <v>52.82</v>
      </c>
      <c r="D637" s="13" t="n">
        <v>63.27</v>
      </c>
      <c r="E637" s="13">
        <f>IF(OR(C637="",D637=""),"",ABS(C637-D637))</f>
        <v/>
      </c>
      <c r="F637" s="11" t="inlineStr">
        <is>
          <t>WSH</t>
        </is>
      </c>
      <c r="G637" s="12" t="n">
        <v>-122</v>
      </c>
      <c r="H637" s="14">
        <f>IF(OR(F637="",G637="",AND(I637&lt;&gt;"W",I637&lt;&gt;"L")),"",IF(I637="W",IF(G637&gt;0,G637/100,1),IF(G637&lt;0,G637/100,-1)))</f>
        <v/>
      </c>
      <c r="I637" s="11" t="inlineStr">
        <is>
          <t>L</t>
        </is>
      </c>
      <c r="J637" s="10" t="inlineStr">
        <is>
          <t>DAL 4, WSH 1</t>
        </is>
      </c>
      <c r="K637" s="10" t="inlineStr">
        <is>
          <t>DraftKings closing</t>
        </is>
      </c>
    </row>
    <row r="638">
      <c r="A638" s="9" t="n">
        <v>46029</v>
      </c>
      <c r="B638" s="10" t="inlineStr">
        <is>
          <t>CGY @ MTL</t>
        </is>
      </c>
      <c r="C638" s="13" t="n">
        <v>67.90000000000001</v>
      </c>
      <c r="D638" s="13" t="n">
        <v>70.81999999999999</v>
      </c>
      <c r="E638" s="13">
        <f>IF(OR(C638="",D638=""),"",ABS(C638-D638))</f>
        <v/>
      </c>
      <c r="F638" s="11" t="inlineStr">
        <is>
          <t>MTL</t>
        </is>
      </c>
      <c r="G638" s="12" t="n">
        <v>-135</v>
      </c>
      <c r="H638" s="14">
        <f>IF(OR(F638="",G638="",AND(I638&lt;&gt;"W",I638&lt;&gt;"L")),"",IF(I638="W",IF(G638&gt;0,G638/100,1),IF(G638&lt;0,G638/100,-1)))</f>
        <v/>
      </c>
      <c r="I638" s="11" t="inlineStr">
        <is>
          <t>W</t>
        </is>
      </c>
      <c r="J638" s="10" t="inlineStr">
        <is>
          <t>CGY 1, MTL 4</t>
        </is>
      </c>
      <c r="K638" s="10" t="inlineStr">
        <is>
          <t>DraftKings closing</t>
        </is>
      </c>
    </row>
    <row r="639">
      <c r="A639" s="9" t="n">
        <v>46029</v>
      </c>
      <c r="B639" s="10" t="inlineStr">
        <is>
          <t>STL @ CHI</t>
        </is>
      </c>
      <c r="C639" s="13" t="n">
        <v>72.19</v>
      </c>
      <c r="D639" s="13" t="n">
        <v>75.27</v>
      </c>
      <c r="E639" s="13">
        <f>IF(OR(C639="",D639=""),"",ABS(C639-D639))</f>
        <v/>
      </c>
      <c r="F639" s="11" t="inlineStr">
        <is>
          <t>CHI</t>
        </is>
      </c>
      <c r="G639" s="12" t="n">
        <v>102</v>
      </c>
      <c r="H639" s="14">
        <f>IF(OR(F639="",G639="",AND(I639&lt;&gt;"W",I639&lt;&gt;"L")),"",IF(I639="W",IF(G639&gt;0,G639/100,1),IF(G639&lt;0,G639/100,-1)))</f>
        <v/>
      </c>
      <c r="I639" s="11" t="inlineStr">
        <is>
          <t>W</t>
        </is>
      </c>
      <c r="J639" s="10" t="inlineStr">
        <is>
          <t>STL 3, CHI 7</t>
        </is>
      </c>
      <c r="K639" s="10" t="inlineStr">
        <is>
          <t>DraftKings closing</t>
        </is>
      </c>
    </row>
    <row r="640">
      <c r="A640" s="9" t="n">
        <v>46029</v>
      </c>
      <c r="B640" s="10" t="inlineStr">
        <is>
          <t>OTT @ UTA</t>
        </is>
      </c>
      <c r="C640" s="13" t="n">
        <v>71.65000000000001</v>
      </c>
      <c r="D640" s="13" t="n">
        <v>81.76000000000001</v>
      </c>
      <c r="E640" s="13">
        <f>IF(OR(C640="",D640=""),"",ABS(C640-D640))</f>
        <v/>
      </c>
      <c r="F640" s="11" t="inlineStr">
        <is>
          <t>UTA</t>
        </is>
      </c>
      <c r="G640" s="12" t="n">
        <v>-118</v>
      </c>
      <c r="H640" s="14">
        <f>IF(OR(F640="",G640="",AND(I640&lt;&gt;"W",I640&lt;&gt;"L")),"",IF(I640="W",IF(G640&gt;0,G640/100,1),IF(G640&lt;0,G640/100,-1)))</f>
        <v/>
      </c>
      <c r="I640" s="11" t="inlineStr">
        <is>
          <t>W</t>
        </is>
      </c>
      <c r="J640" s="10" t="inlineStr">
        <is>
          <t>OTT 1, UTA 3</t>
        </is>
      </c>
      <c r="K640" s="10" t="inlineStr">
        <is>
          <t>DraftKings closing</t>
        </is>
      </c>
    </row>
    <row r="641">
      <c r="A641" s="9" t="n">
        <v>46029</v>
      </c>
      <c r="B641" s="10" t="inlineStr">
        <is>
          <t>SJS @ LAK</t>
        </is>
      </c>
      <c r="C641" s="13" t="n">
        <v>70.31999999999999</v>
      </c>
      <c r="D641" s="13" t="n">
        <v>77.04000000000001</v>
      </c>
      <c r="E641" s="13">
        <f>IF(OR(C641="",D641=""),"",ABS(C641-D641))</f>
        <v/>
      </c>
      <c r="F641" s="11" t="inlineStr">
        <is>
          <t>LAK</t>
        </is>
      </c>
      <c r="G641" s="12" t="n">
        <v>-230</v>
      </c>
      <c r="H641" s="14">
        <f>IF(OR(F641="",G641="",AND(I641&lt;&gt;"W",I641&lt;&gt;"L")),"",IF(I641="W",IF(G641&gt;0,G641/100,1),IF(G641&lt;0,G641/100,-1)))</f>
        <v/>
      </c>
      <c r="I641" s="11" t="inlineStr">
        <is>
          <t>L</t>
        </is>
      </c>
      <c r="J641" s="10" t="inlineStr">
        <is>
          <t>SJS 4, LAK 3</t>
        </is>
      </c>
      <c r="K641" s="10" t="inlineStr">
        <is>
          <t>DraftKings closing</t>
        </is>
      </c>
    </row>
    <row r="642">
      <c r="A642" s="9" t="n">
        <v>46030</v>
      </c>
      <c r="B642" s="10" t="inlineStr">
        <is>
          <t>CGY @ BOS</t>
        </is>
      </c>
      <c r="C642" s="13" t="n">
        <v>54.83</v>
      </c>
      <c r="D642" s="13" t="n">
        <v>73.12</v>
      </c>
      <c r="E642" s="13">
        <f>IF(OR(C642="",D642=""),"",ABS(C642-D642))</f>
        <v/>
      </c>
      <c r="F642" s="11" t="inlineStr">
        <is>
          <t>BOS</t>
        </is>
      </c>
      <c r="G642" s="12" t="n">
        <v>-130</v>
      </c>
      <c r="H642" s="14">
        <f>IF(OR(F642="",G642="",AND(I642&lt;&gt;"W",I642&lt;&gt;"L")),"",IF(I642="W",IF(G642&gt;0,G642/100,1),IF(G642&lt;0,G642/100,-1)))</f>
        <v/>
      </c>
      <c r="I642" s="11" t="inlineStr">
        <is>
          <t>W</t>
        </is>
      </c>
      <c r="J642" s="10" t="inlineStr">
        <is>
          <t>CGY 1, BOS 4</t>
        </is>
      </c>
      <c r="K642" s="10" t="inlineStr">
        <is>
          <t>DraftKings closing</t>
        </is>
      </c>
    </row>
    <row r="643">
      <c r="A643" s="9" t="n">
        <v>46030</v>
      </c>
      <c r="B643" s="10" t="inlineStr">
        <is>
          <t>FLA @ MTL</t>
        </is>
      </c>
      <c r="C643" s="13" t="n">
        <v>66.34</v>
      </c>
      <c r="D643" s="13" t="n">
        <v>85.17</v>
      </c>
      <c r="E643" s="13">
        <f>IF(OR(C643="",D643=""),"",ABS(C643-D643))</f>
        <v/>
      </c>
      <c r="F643" s="11" t="inlineStr">
        <is>
          <t>MTL</t>
        </is>
      </c>
      <c r="G643" s="12" t="n">
        <v>-108</v>
      </c>
      <c r="H643" s="14">
        <f>IF(OR(F643="",G643="",AND(I643&lt;&gt;"W",I643&lt;&gt;"L")),"",IF(I643="W",IF(G643&gt;0,G643/100,1),IF(G643&lt;0,G643/100,-1)))</f>
        <v/>
      </c>
      <c r="I643" s="11" t="inlineStr">
        <is>
          <t>W</t>
        </is>
      </c>
      <c r="J643" s="10" t="inlineStr">
        <is>
          <t>FLA 2, MTL 6</t>
        </is>
      </c>
      <c r="K643" s="10" t="inlineStr">
        <is>
          <t>DraftKings closing</t>
        </is>
      </c>
    </row>
    <row r="644">
      <c r="A644" s="9" t="n">
        <v>46030</v>
      </c>
      <c r="B644" s="10" t="inlineStr">
        <is>
          <t>VAN @ DET</t>
        </is>
      </c>
      <c r="C644" s="13" t="n">
        <v>69.2</v>
      </c>
      <c r="D644" s="13" t="n">
        <v>68.34999999999999</v>
      </c>
      <c r="E644" s="13">
        <f>IF(OR(C644="",D644=""),"",ABS(C644-D644))</f>
        <v/>
      </c>
      <c r="F644" s="11" t="inlineStr">
        <is>
          <t>VAN</t>
        </is>
      </c>
      <c r="G644" s="12" t="n">
        <v>124</v>
      </c>
      <c r="H644" s="14">
        <f>IF(OR(F644="",G644="",AND(I644&lt;&gt;"W",I644&lt;&gt;"L")),"",IF(I644="W",IF(G644&gt;0,G644/100,1),IF(G644&lt;0,G644/100,-1)))</f>
        <v/>
      </c>
      <c r="I644" s="11" t="inlineStr">
        <is>
          <t>L</t>
        </is>
      </c>
      <c r="J644" s="10" t="inlineStr">
        <is>
          <t>VAN 1, DET 5</t>
        </is>
      </c>
      <c r="K644" s="10" t="inlineStr">
        <is>
          <t>DraftKings closing</t>
        </is>
      </c>
    </row>
    <row r="645">
      <c r="A645" s="9" t="n">
        <v>46030</v>
      </c>
      <c r="B645" s="10" t="inlineStr">
        <is>
          <t>BUF @ NYR</t>
        </is>
      </c>
      <c r="C645" s="13" t="n">
        <v>70.8</v>
      </c>
      <c r="D645" s="13" t="n">
        <v>58.24</v>
      </c>
      <c r="E645" s="13">
        <f>IF(OR(C645="",D645=""),"",ABS(C645-D645))</f>
        <v/>
      </c>
      <c r="F645" s="11" t="inlineStr">
        <is>
          <t>BUF</t>
        </is>
      </c>
      <c r="G645" s="12" t="n">
        <v>-125</v>
      </c>
      <c r="H645" s="14">
        <f>IF(OR(F645="",G645="",AND(I645&lt;&gt;"W",I645&lt;&gt;"L")),"",IF(I645="W",IF(G645&gt;0,G645/100,1),IF(G645&lt;0,G645/100,-1)))</f>
        <v/>
      </c>
      <c r="I645" s="11" t="inlineStr">
        <is>
          <t>W</t>
        </is>
      </c>
      <c r="J645" s="10" t="inlineStr">
        <is>
          <t>BUF 5, NYR 2</t>
        </is>
      </c>
      <c r="K645" s="10" t="inlineStr">
        <is>
          <t>DraftKings closing</t>
        </is>
      </c>
    </row>
    <row r="646">
      <c r="A646" s="9" t="n">
        <v>46030</v>
      </c>
      <c r="B646" s="10" t="inlineStr">
        <is>
          <t>TOR @ PHI</t>
        </is>
      </c>
      <c r="C646" s="13" t="n">
        <v>73.66</v>
      </c>
      <c r="D646" s="13" t="n">
        <v>77.97</v>
      </c>
      <c r="E646" s="13">
        <f>IF(OR(C646="",D646=""),"",ABS(C646-D646))</f>
        <v/>
      </c>
      <c r="F646" s="11" t="inlineStr">
        <is>
          <t>PHI</t>
        </is>
      </c>
      <c r="G646" s="12" t="n">
        <v>-122</v>
      </c>
      <c r="H646" s="14">
        <f>IF(OR(F646="",G646="",AND(I646&lt;&gt;"W",I646&lt;&gt;"L")),"",IF(I646="W",IF(G646&gt;0,G646/100,1),IF(G646&lt;0,G646/100,-1)))</f>
        <v/>
      </c>
      <c r="I646" s="11" t="inlineStr">
        <is>
          <t>L</t>
        </is>
      </c>
      <c r="J646" s="10" t="inlineStr">
        <is>
          <t>TOR 2, PHI 1</t>
        </is>
      </c>
      <c r="K646" s="10" t="inlineStr">
        <is>
          <t>DraftKings closing</t>
        </is>
      </c>
    </row>
    <row r="647">
      <c r="A647" s="9" t="n">
        <v>46030</v>
      </c>
      <c r="B647" s="10" t="inlineStr">
        <is>
          <t>NJD @ PIT</t>
        </is>
      </c>
      <c r="C647" s="13" t="n">
        <v>54.99</v>
      </c>
      <c r="D647" s="13" t="n">
        <v>82.81</v>
      </c>
      <c r="E647" s="13">
        <f>IF(OR(C647="",D647=""),"",ABS(C647-D647))</f>
        <v/>
      </c>
      <c r="F647" s="11" t="inlineStr">
        <is>
          <t>PIT</t>
        </is>
      </c>
      <c r="G647" s="12" t="n">
        <v>-105</v>
      </c>
      <c r="H647" s="14">
        <f>IF(OR(F647="",G647="",AND(I647&lt;&gt;"W",I647&lt;&gt;"L")),"",IF(I647="W",IF(G647&gt;0,G647/100,1),IF(G647&lt;0,G647/100,-1)))</f>
        <v/>
      </c>
      <c r="I647" s="11" t="inlineStr">
        <is>
          <t>W</t>
        </is>
      </c>
      <c r="J647" s="10" t="inlineStr">
        <is>
          <t>NJD 1, PIT 4</t>
        </is>
      </c>
      <c r="K647" s="10" t="inlineStr">
        <is>
          <t>DraftKings closing</t>
        </is>
      </c>
    </row>
    <row r="648">
      <c r="A648" s="9" t="n">
        <v>46030</v>
      </c>
      <c r="B648" s="10" t="inlineStr">
        <is>
          <t>ANA @ CAR</t>
        </is>
      </c>
      <c r="C648" s="13" t="n">
        <v>62.03</v>
      </c>
      <c r="D648" s="13" t="n">
        <v>87.18000000000001</v>
      </c>
      <c r="E648" s="13">
        <f>IF(OR(C648="",D648=""),"",ABS(C648-D648))</f>
        <v/>
      </c>
      <c r="F648" s="11" t="inlineStr">
        <is>
          <t>CAR</t>
        </is>
      </c>
      <c r="G648" s="12" t="n">
        <v>-230</v>
      </c>
      <c r="H648" s="14">
        <f>IF(OR(F648="",G648="",AND(I648&lt;&gt;"W",I648&lt;&gt;"L")),"",IF(I648="W",IF(G648&gt;0,G648/100,1),IF(G648&lt;0,G648/100,-1)))</f>
        <v/>
      </c>
      <c r="I648" s="11" t="inlineStr">
        <is>
          <t>W</t>
        </is>
      </c>
      <c r="J648" s="10" t="inlineStr">
        <is>
          <t>ANA 2, CAR 5</t>
        </is>
      </c>
      <c r="K648" s="10" t="inlineStr">
        <is>
          <t>DraftKings closing</t>
        </is>
      </c>
    </row>
    <row r="649">
      <c r="A649" s="9" t="n">
        <v>46030</v>
      </c>
      <c r="B649" s="10" t="inlineStr">
        <is>
          <t>NYI @ NSH</t>
        </is>
      </c>
      <c r="C649" s="13" t="n">
        <v>85.01000000000001</v>
      </c>
      <c r="D649" s="13" t="n">
        <v>47.64</v>
      </c>
      <c r="E649" s="13">
        <f>IF(OR(C649="",D649=""),"",ABS(C649-D649))</f>
        <v/>
      </c>
      <c r="F649" s="11" t="inlineStr">
        <is>
          <t>NYI</t>
        </is>
      </c>
      <c r="G649" s="12" t="n">
        <v>120</v>
      </c>
      <c r="H649" s="14">
        <f>IF(OR(F649="",G649="",AND(I649&lt;&gt;"W",I649&lt;&gt;"L")),"",IF(I649="W",IF(G649&gt;0,G649/100,1),IF(G649&lt;0,G649/100,-1)))</f>
        <v/>
      </c>
      <c r="I649" s="11" t="inlineStr">
        <is>
          <t>L</t>
        </is>
      </c>
      <c r="J649" s="10" t="inlineStr">
        <is>
          <t>NYI 1, NSH 2</t>
        </is>
      </c>
      <c r="K649" s="10" t="inlineStr">
        <is>
          <t>DraftKings closing</t>
        </is>
      </c>
    </row>
    <row r="650">
      <c r="A650" s="9" t="n">
        <v>46030</v>
      </c>
      <c r="B650" s="10" t="inlineStr">
        <is>
          <t>EDM @ WPG</t>
        </is>
      </c>
      <c r="C650" s="13" t="n">
        <v>92.36</v>
      </c>
      <c r="D650" s="13" t="n">
        <v>57.35</v>
      </c>
      <c r="E650" s="13">
        <f>IF(OR(C650="",D650=""),"",ABS(C650-D650))</f>
        <v/>
      </c>
      <c r="F650" s="11" t="inlineStr">
        <is>
          <t>EDM</t>
        </is>
      </c>
      <c r="G650" s="12" t="n">
        <v>-115</v>
      </c>
      <c r="H650" s="14">
        <f>IF(OR(F650="",G650="",AND(I650&lt;&gt;"W",I650&lt;&gt;"L")),"",IF(I650="W",IF(G650&gt;0,G650/100,1),IF(G650&lt;0,G650/100,-1)))</f>
        <v/>
      </c>
      <c r="I650" s="11" t="inlineStr">
        <is>
          <t>W</t>
        </is>
      </c>
      <c r="J650" s="10" t="inlineStr">
        <is>
          <t>EDM 4, WPG 3</t>
        </is>
      </c>
      <c r="K650" s="10" t="inlineStr">
        <is>
          <t>DraftKings closing</t>
        </is>
      </c>
    </row>
    <row r="651">
      <c r="A651" s="9" t="n">
        <v>46030</v>
      </c>
      <c r="B651" s="10" t="inlineStr">
        <is>
          <t>OTT @ COL</t>
        </is>
      </c>
      <c r="C651" s="13" t="n">
        <v>65.13</v>
      </c>
      <c r="D651" s="13" t="n">
        <v>66.61</v>
      </c>
      <c r="E651" s="13">
        <f>IF(OR(C651="",D651=""),"",ABS(C651-D651))</f>
        <v/>
      </c>
      <c r="F651" s="11" t="inlineStr">
        <is>
          <t>COL</t>
        </is>
      </c>
      <c r="G651" s="12" t="n">
        <v>-290</v>
      </c>
      <c r="H651" s="14">
        <f>IF(OR(F651="",G651="",AND(I651&lt;&gt;"W",I651&lt;&gt;"L")),"",IF(I651="W",IF(G651&gt;0,G651/100,1),IF(G651&lt;0,G651/100,-1)))</f>
        <v/>
      </c>
      <c r="I651" s="11" t="inlineStr">
        <is>
          <t>W</t>
        </is>
      </c>
      <c r="J651" s="10" t="inlineStr">
        <is>
          <t>OTT 2, COL 8</t>
        </is>
      </c>
      <c r="K651" s="10" t="inlineStr">
        <is>
          <t>DraftKings closing</t>
        </is>
      </c>
    </row>
    <row r="652">
      <c r="A652" s="9" t="n">
        <v>46030</v>
      </c>
      <c r="B652" s="10" t="inlineStr">
        <is>
          <t>CBJ @ VGK</t>
        </is>
      </c>
      <c r="C652" s="13" t="n">
        <v>69.68000000000001</v>
      </c>
      <c r="D652" s="13" t="n">
        <v>82.65000000000001</v>
      </c>
      <c r="E652" s="13">
        <f>IF(OR(C652="",D652=""),"",ABS(C652-D652))</f>
        <v/>
      </c>
      <c r="F652" s="11" t="inlineStr">
        <is>
          <t>VGK</t>
        </is>
      </c>
      <c r="G652" s="12" t="n">
        <v>-135</v>
      </c>
      <c r="H652" s="14">
        <f>IF(OR(F652="",G652="",AND(I652&lt;&gt;"W",I652&lt;&gt;"L")),"",IF(I652="W",IF(G652&gt;0,G652/100,1),IF(G652&lt;0,G652/100,-1)))</f>
        <v/>
      </c>
      <c r="I652" s="11" t="inlineStr">
        <is>
          <t>W</t>
        </is>
      </c>
      <c r="J652" s="10" t="inlineStr">
        <is>
          <t>CBJ 3, VGK 5</t>
        </is>
      </c>
      <c r="K652" s="10" t="inlineStr">
        <is>
          <t>DraftKings closing</t>
        </is>
      </c>
    </row>
    <row r="653">
      <c r="A653" s="9" t="n">
        <v>46030</v>
      </c>
      <c r="B653" s="10" t="inlineStr">
        <is>
          <t>MIN @ SEA</t>
        </is>
      </c>
      <c r="C653" s="13" t="n">
        <v>62.96</v>
      </c>
      <c r="D653" s="13" t="n">
        <v>66.88</v>
      </c>
      <c r="E653" s="13">
        <f>IF(OR(C653="",D653=""),"",ABS(C653-D653))</f>
        <v/>
      </c>
      <c r="F653" s="11" t="inlineStr">
        <is>
          <t>SEA</t>
        </is>
      </c>
      <c r="G653" s="12" t="n">
        <v>142</v>
      </c>
      <c r="H653" s="14">
        <f>IF(OR(F653="",G653="",AND(I653&lt;&gt;"W",I653&lt;&gt;"L")),"",IF(I653="W",IF(G653&gt;0,G653/100,1),IF(G653&lt;0,G653/100,-1)))</f>
        <v/>
      </c>
      <c r="I653" s="11" t="inlineStr">
        <is>
          <t>L</t>
        </is>
      </c>
      <c r="J653" s="10" t="inlineStr">
        <is>
          <t>MIN 3, SEA 2</t>
        </is>
      </c>
      <c r="K653" s="10" t="inlineStr">
        <is>
          <t>DraftKings closing</t>
        </is>
      </c>
    </row>
    <row r="654">
      <c r="A654" s="9" t="n">
        <v>46031</v>
      </c>
      <c r="B654" s="10" t="inlineStr">
        <is>
          <t>WSH @ CHI</t>
        </is>
      </c>
      <c r="C654" s="13" t="n">
        <v>54.55</v>
      </c>
      <c r="D654" s="13" t="n">
        <v>80.40000000000001</v>
      </c>
      <c r="E654" s="13">
        <f>IF(OR(C654="",D654=""),"",ABS(C654-D654))</f>
        <v/>
      </c>
      <c r="F654" s="11" t="inlineStr">
        <is>
          <t>CHI</t>
        </is>
      </c>
      <c r="G654" s="12" t="n">
        <v>114</v>
      </c>
      <c r="H654" s="14">
        <f>IF(OR(F654="",G654="",AND(I654&lt;&gt;"W",I654&lt;&gt;"L")),"",IF(I654="W",IF(G654&gt;0,G654/100,1),IF(G654&lt;0,G654/100,-1)))</f>
        <v/>
      </c>
      <c r="I654" s="11" t="inlineStr">
        <is>
          <t>L</t>
        </is>
      </c>
      <c r="J654" s="10" t="inlineStr">
        <is>
          <t>WSH 5, CHI 1</t>
        </is>
      </c>
      <c r="K654" s="10" t="inlineStr">
        <is>
          <t>DraftKings closing</t>
        </is>
      </c>
    </row>
    <row r="655">
      <c r="A655" s="9" t="n">
        <v>46031</v>
      </c>
      <c r="B655" s="10" t="inlineStr">
        <is>
          <t>LAK @ WPG</t>
        </is>
      </c>
      <c r="C655" s="13" t="n">
        <v>67.79000000000001</v>
      </c>
      <c r="D655" s="13" t="n">
        <v>61.05</v>
      </c>
      <c r="E655" s="13">
        <f>IF(OR(C655="",D655=""),"",ABS(C655-D655))</f>
        <v/>
      </c>
      <c r="F655" s="11" t="inlineStr">
        <is>
          <t>LAK</t>
        </is>
      </c>
      <c r="G655" s="12" t="n">
        <v>-135</v>
      </c>
      <c r="H655" s="14">
        <f>IF(OR(F655="",G655="",AND(I655&lt;&gt;"W",I655&lt;&gt;"L")),"",IF(I655="W",IF(G655&gt;0,G655/100,1),IF(G655&lt;0,G655/100,-1)))</f>
        <v/>
      </c>
      <c r="I655" s="11" t="inlineStr">
        <is>
          <t>L</t>
        </is>
      </c>
      <c r="J655" s="10" t="inlineStr">
        <is>
          <t>LAK 1, WPG 5</t>
        </is>
      </c>
      <c r="K655" s="10" t="inlineStr">
        <is>
          <t>DraftKings closing</t>
        </is>
      </c>
    </row>
    <row r="656">
      <c r="A656" s="9" t="n">
        <v>46031</v>
      </c>
      <c r="B656" s="10" t="inlineStr">
        <is>
          <t>STL @ UTA</t>
        </is>
      </c>
      <c r="C656" s="13" t="n">
        <v>59.6</v>
      </c>
      <c r="D656" s="13" t="n">
        <v>74.87</v>
      </c>
      <c r="E656" s="13">
        <f>IF(OR(C656="",D656=""),"",ABS(C656-D656))</f>
        <v/>
      </c>
      <c r="F656" s="11" t="inlineStr">
        <is>
          <t>UTA</t>
        </is>
      </c>
      <c r="G656" s="12" t="n">
        <v>-192</v>
      </c>
      <c r="H656" s="14">
        <f>IF(OR(F656="",G656="",AND(I656&lt;&gt;"W",I656&lt;&gt;"L")),"",IF(I656="W",IF(G656&gt;0,G656/100,1),IF(G656&lt;0,G656/100,-1)))</f>
        <v/>
      </c>
      <c r="I656" s="11" t="inlineStr">
        <is>
          <t>W</t>
        </is>
      </c>
      <c r="J656" s="10" t="inlineStr">
        <is>
          <t>STL 2, UTA 4</t>
        </is>
      </c>
      <c r="K656" s="10" t="inlineStr">
        <is>
          <t>DraftKings closing</t>
        </is>
      </c>
    </row>
    <row r="657">
      <c r="A657" s="9" t="n">
        <v>46032</v>
      </c>
      <c r="B657" s="10" t="inlineStr">
        <is>
          <t>NYR @ BOS</t>
        </is>
      </c>
      <c r="C657" s="13" t="n">
        <v>67.05</v>
      </c>
      <c r="D657" s="13" t="n">
        <v>89.61</v>
      </c>
      <c r="E657" s="13">
        <f>IF(OR(C657="",D657=""),"",ABS(C657-D657))</f>
        <v/>
      </c>
      <c r="F657" s="11" t="inlineStr">
        <is>
          <t>BOS</t>
        </is>
      </c>
      <c r="G657" s="12" t="n">
        <v>-130</v>
      </c>
      <c r="H657" s="14">
        <f>IF(OR(F657="",G657="",AND(I657&lt;&gt;"W",I657&lt;&gt;"L")),"",IF(I657="W",IF(G657&gt;0,G657/100,1),IF(G657&lt;0,G657/100,-1)))</f>
        <v/>
      </c>
      <c r="I657" s="11" t="inlineStr">
        <is>
          <t>W</t>
        </is>
      </c>
      <c r="J657" s="10" t="inlineStr">
        <is>
          <t>NYR 2, BOS 10</t>
        </is>
      </c>
      <c r="K657" s="10" t="inlineStr">
        <is>
          <t>DraftKings closing</t>
        </is>
      </c>
    </row>
    <row r="658">
      <c r="A658" s="9" t="n">
        <v>46032</v>
      </c>
      <c r="B658" s="10" t="inlineStr">
        <is>
          <t>CGY @ PIT</t>
        </is>
      </c>
      <c r="C658" s="13" t="n">
        <v>50.39</v>
      </c>
      <c r="D658" s="13" t="n">
        <v>83.97</v>
      </c>
      <c r="E658" s="13">
        <f>IF(OR(C658="",D658=""),"",ABS(C658-D658))</f>
        <v/>
      </c>
      <c r="F658" s="11" t="inlineStr">
        <is>
          <t>PIT</t>
        </is>
      </c>
      <c r="G658" s="12" t="n">
        <v>-148</v>
      </c>
      <c r="H658" s="14">
        <f>IF(OR(F658="",G658="",AND(I658&lt;&gt;"W",I658&lt;&gt;"L")),"",IF(I658="W",IF(G658&gt;0,G658/100,1),IF(G658&lt;0,G658/100,-1)))</f>
        <v/>
      </c>
      <c r="I658" s="11" t="inlineStr">
        <is>
          <t>L</t>
        </is>
      </c>
      <c r="J658" s="10" t="inlineStr">
        <is>
          <t>CGY 2, PIT 1</t>
        </is>
      </c>
      <c r="K658" s="10" t="inlineStr">
        <is>
          <t>DraftKings closing</t>
        </is>
      </c>
    </row>
    <row r="659">
      <c r="A659" s="9" t="n">
        <v>46032</v>
      </c>
      <c r="B659" s="10" t="inlineStr">
        <is>
          <t>CBJ @ COL</t>
        </is>
      </c>
      <c r="C659" s="13" t="n">
        <v>66.72</v>
      </c>
      <c r="D659" s="13" t="n">
        <v>87.48999999999999</v>
      </c>
      <c r="E659" s="13">
        <f>IF(OR(C659="",D659=""),"",ABS(C659-D659))</f>
        <v/>
      </c>
      <c r="F659" s="11" t="inlineStr">
        <is>
          <t>COL</t>
        </is>
      </c>
      <c r="G659" s="12" t="n">
        <v>-285</v>
      </c>
      <c r="H659" s="14">
        <f>IF(OR(F659="",G659="",AND(I659&lt;&gt;"W",I659&lt;&gt;"L")),"",IF(I659="W",IF(G659&gt;0,G659/100,1),IF(G659&lt;0,G659/100,-1)))</f>
        <v/>
      </c>
      <c r="I659" s="11" t="inlineStr">
        <is>
          <t>W</t>
        </is>
      </c>
      <c r="J659" s="10" t="inlineStr">
        <is>
          <t>CBJ 0, COL 4</t>
        </is>
      </c>
      <c r="K659" s="10" t="inlineStr">
        <is>
          <t>DraftKings closing</t>
        </is>
      </c>
    </row>
    <row r="660">
      <c r="A660" s="9" t="n">
        <v>46032</v>
      </c>
      <c r="B660" s="10" t="inlineStr">
        <is>
          <t>DAL @ SJS</t>
        </is>
      </c>
      <c r="C660" s="13" t="n">
        <v>85.45</v>
      </c>
      <c r="D660" s="13" t="n">
        <v>72.20999999999999</v>
      </c>
      <c r="E660" s="13">
        <f>IF(OR(C660="",D660=""),"",ABS(C660-D660))</f>
        <v/>
      </c>
      <c r="F660" s="11" t="inlineStr">
        <is>
          <t>DAL</t>
        </is>
      </c>
      <c r="G660" s="12" t="n">
        <v>-162</v>
      </c>
      <c r="H660" s="14">
        <f>IF(OR(F660="",G660="",AND(I660&lt;&gt;"W",I660&lt;&gt;"L")),"",IF(I660="W",IF(G660&gt;0,G660/100,1),IF(G660&lt;0,G660/100,-1)))</f>
        <v/>
      </c>
      <c r="I660" s="11" t="inlineStr">
        <is>
          <t>L</t>
        </is>
      </c>
      <c r="J660" s="10" t="inlineStr">
        <is>
          <t>DAL 4, SJS 5</t>
        </is>
      </c>
      <c r="K660" s="10" t="inlineStr">
        <is>
          <t>DraftKings closing</t>
        </is>
      </c>
    </row>
    <row r="661">
      <c r="A661" s="9" t="n">
        <v>46032</v>
      </c>
      <c r="B661" s="10" t="inlineStr">
        <is>
          <t>ANA @ BUF</t>
        </is>
      </c>
      <c r="C661" s="13" t="n">
        <v>52.83</v>
      </c>
      <c r="D661" s="13" t="n">
        <v>72.95</v>
      </c>
      <c r="E661" s="13">
        <f>IF(OR(C661="",D661=""),"",ABS(C661-D661))</f>
        <v/>
      </c>
      <c r="F661" s="11" t="inlineStr">
        <is>
          <t>BUF</t>
        </is>
      </c>
      <c r="G661" s="12" t="n">
        <v>-148</v>
      </c>
      <c r="H661" s="14">
        <f>IF(OR(F661="",G661="",AND(I661&lt;&gt;"W",I661&lt;&gt;"L")),"",IF(I661="W",IF(G661&gt;0,G661/100,1),IF(G661&lt;0,G661/100,-1)))</f>
        <v/>
      </c>
      <c r="I661" s="11" t="inlineStr">
        <is>
          <t>W</t>
        </is>
      </c>
      <c r="J661" s="10" t="inlineStr">
        <is>
          <t>ANA 3, BUF 5</t>
        </is>
      </c>
      <c r="K661" s="10" t="inlineStr">
        <is>
          <t>DraftKings closing</t>
        </is>
      </c>
    </row>
    <row r="662">
      <c r="A662" s="9" t="n">
        <v>46032</v>
      </c>
      <c r="B662" s="10" t="inlineStr">
        <is>
          <t>VAN @ TOR</t>
        </is>
      </c>
      <c r="C662" s="13" t="n">
        <v>63.89</v>
      </c>
      <c r="D662" s="13" t="n">
        <v>71.16</v>
      </c>
      <c r="E662" s="13">
        <f>IF(OR(C662="",D662=""),"",ABS(C662-D662))</f>
        <v/>
      </c>
      <c r="F662" s="11" t="inlineStr">
        <is>
          <t>TOR</t>
        </is>
      </c>
      <c r="G662" s="12" t="n">
        <v>-162</v>
      </c>
      <c r="H662" s="14">
        <f>IF(OR(F662="",G662="",AND(I662&lt;&gt;"W",I662&lt;&gt;"L")),"",IF(I662="W",IF(G662&gt;0,G662/100,1),IF(G662&lt;0,G662/100,-1)))</f>
        <v/>
      </c>
      <c r="I662" s="11" t="inlineStr">
        <is>
          <t>W</t>
        </is>
      </c>
      <c r="J662" s="10" t="inlineStr">
        <is>
          <t>VAN 0, TOR 5</t>
        </is>
      </c>
      <c r="K662" s="10" t="inlineStr">
        <is>
          <t>DraftKings closing</t>
        </is>
      </c>
    </row>
    <row r="663">
      <c r="A663" s="9" t="n">
        <v>46032</v>
      </c>
      <c r="B663" s="10" t="inlineStr">
        <is>
          <t>DET @ MTL</t>
        </is>
      </c>
      <c r="C663" s="13" t="n">
        <v>76.11</v>
      </c>
      <c r="D663" s="13" t="n">
        <v>73.18000000000001</v>
      </c>
      <c r="E663" s="13">
        <f>IF(OR(C663="",D663=""),"",ABS(C663-D663))</f>
        <v/>
      </c>
      <c r="F663" s="11" t="inlineStr">
        <is>
          <t>DET</t>
        </is>
      </c>
      <c r="G663" s="12" t="n">
        <v>114</v>
      </c>
      <c r="H663" s="14">
        <f>IF(OR(F663="",G663="",AND(I663&lt;&gt;"W",I663&lt;&gt;"L")),"",IF(I663="W",IF(G663&gt;0,G663/100,1),IF(G663&lt;0,G663/100,-1)))</f>
        <v/>
      </c>
      <c r="I663" s="11" t="inlineStr">
        <is>
          <t>W</t>
        </is>
      </c>
      <c r="J663" s="10" t="inlineStr">
        <is>
          <t>DET 4, MTL 0</t>
        </is>
      </c>
      <c r="K663" s="10" t="inlineStr">
        <is>
          <t>DraftKings closing</t>
        </is>
      </c>
    </row>
    <row r="664">
      <c r="A664" s="9" t="n">
        <v>46032</v>
      </c>
      <c r="B664" s="10" t="inlineStr">
        <is>
          <t>FLA @ OTT</t>
        </is>
      </c>
      <c r="C664" s="13" t="n">
        <v>66.81999999999999</v>
      </c>
      <c r="D664" s="13" t="n">
        <v>52.51</v>
      </c>
      <c r="E664" s="13">
        <f>IF(OR(C664="",D664=""),"",ABS(C664-D664))</f>
        <v/>
      </c>
      <c r="F664" s="11" t="inlineStr">
        <is>
          <t>FLA</t>
        </is>
      </c>
      <c r="G664" s="12" t="n">
        <v>105</v>
      </c>
      <c r="H664" s="14">
        <f>IF(OR(F664="",G664="",AND(I664&lt;&gt;"W",I664&lt;&gt;"L")),"",IF(I664="W",IF(G664&gt;0,G664/100,1),IF(G664&lt;0,G664/100,-1)))</f>
        <v/>
      </c>
      <c r="I664" s="11" t="inlineStr">
        <is>
          <t>W</t>
        </is>
      </c>
      <c r="J664" s="10" t="inlineStr">
        <is>
          <t>FLA 3, OTT 2</t>
        </is>
      </c>
      <c r="K664" s="10" t="inlineStr">
        <is>
          <t>DraftKings closing</t>
        </is>
      </c>
    </row>
    <row r="665">
      <c r="A665" s="9" t="n">
        <v>46032</v>
      </c>
      <c r="B665" s="10" t="inlineStr">
        <is>
          <t>TBL @ PHI</t>
        </is>
      </c>
      <c r="C665" s="13" t="n">
        <v>73.39</v>
      </c>
      <c r="D665" s="13" t="n">
        <v>68.84</v>
      </c>
      <c r="E665" s="13">
        <f>IF(OR(C665="",D665=""),"",ABS(C665-D665))</f>
        <v/>
      </c>
      <c r="F665" s="11" t="inlineStr">
        <is>
          <t>TBL</t>
        </is>
      </c>
      <c r="G665" s="12" t="n">
        <v>-185</v>
      </c>
      <c r="H665" s="14">
        <f>IF(OR(F665="",G665="",AND(I665&lt;&gt;"W",I665&lt;&gt;"L")),"",IF(I665="W",IF(G665&gt;0,G665/100,1),IF(G665&lt;0,G665/100,-1)))</f>
        <v/>
      </c>
      <c r="I665" s="11" t="inlineStr">
        <is>
          <t>W</t>
        </is>
      </c>
      <c r="J665" s="10" t="inlineStr">
        <is>
          <t>TBL 7, PHI 2</t>
        </is>
      </c>
      <c r="K665" s="10" t="inlineStr">
        <is>
          <t>DraftKings closing</t>
        </is>
      </c>
    </row>
    <row r="666">
      <c r="A666" s="9" t="n">
        <v>46032</v>
      </c>
      <c r="B666" s="10" t="inlineStr">
        <is>
          <t>SEA @ CAR</t>
        </is>
      </c>
      <c r="C666" s="13" t="n">
        <v>64.06</v>
      </c>
      <c r="D666" s="13" t="n">
        <v>87.17</v>
      </c>
      <c r="E666" s="13">
        <f>IF(OR(C666="",D666=""),"",ABS(C666-D666))</f>
        <v/>
      </c>
      <c r="F666" s="11" t="inlineStr">
        <is>
          <t>CAR</t>
        </is>
      </c>
      <c r="G666" s="12" t="n">
        <v>-305</v>
      </c>
      <c r="H666" s="14">
        <f>IF(OR(F666="",G666="",AND(I666&lt;&gt;"W",I666&lt;&gt;"L")),"",IF(I666="W",IF(G666&gt;0,G666/100,1),IF(G666&lt;0,G666/100,-1)))</f>
        <v/>
      </c>
      <c r="I666" s="11" t="inlineStr">
        <is>
          <t>W</t>
        </is>
      </c>
      <c r="J666" s="10" t="inlineStr">
        <is>
          <t>SEA 2, CAR 3</t>
        </is>
      </c>
      <c r="K666" s="10" t="inlineStr">
        <is>
          <t>DraftKings closing</t>
        </is>
      </c>
    </row>
    <row r="667">
      <c r="A667" s="9" t="n">
        <v>46032</v>
      </c>
      <c r="B667" s="10" t="inlineStr">
        <is>
          <t>CHI @ NSH</t>
        </is>
      </c>
      <c r="C667" s="13" t="n">
        <v>57.96</v>
      </c>
      <c r="D667" s="13" t="n">
        <v>73.51000000000001</v>
      </c>
      <c r="E667" s="13">
        <f>IF(OR(C667="",D667=""),"",ABS(C667-D667))</f>
        <v/>
      </c>
      <c r="F667" s="11" t="inlineStr">
        <is>
          <t>NSH</t>
        </is>
      </c>
      <c r="G667" s="12" t="n">
        <v>-218</v>
      </c>
      <c r="H667" s="14">
        <f>IF(OR(F667="",G667="",AND(I667&lt;&gt;"W",I667&lt;&gt;"L")),"",IF(I667="W",IF(G667&gt;0,G667/100,1),IF(G667&lt;0,G667/100,-1)))</f>
        <v/>
      </c>
      <c r="I667" s="11" t="inlineStr">
        <is>
          <t>L</t>
        </is>
      </c>
      <c r="J667" s="10" t="inlineStr">
        <is>
          <t>CHI 3, NSH 0</t>
        </is>
      </c>
      <c r="K667" s="10" t="inlineStr">
        <is>
          <t>DraftKings closing</t>
        </is>
      </c>
    </row>
    <row r="668">
      <c r="A668" s="9" t="n">
        <v>46032</v>
      </c>
      <c r="B668" s="10" t="inlineStr">
        <is>
          <t>NYI @ MIN</t>
        </is>
      </c>
      <c r="C668" s="13" t="n">
        <v>66.48999999999999</v>
      </c>
      <c r="D668" s="13" t="n">
        <v>75.94</v>
      </c>
      <c r="E668" s="13">
        <f>IF(OR(C668="",D668=""),"",ABS(C668-D668))</f>
        <v/>
      </c>
      <c r="F668" s="11" t="inlineStr">
        <is>
          <t>MIN</t>
        </is>
      </c>
      <c r="G668" s="12" t="n">
        <v>-155</v>
      </c>
      <c r="H668" s="14">
        <f>IF(OR(F668="",G668="",AND(I668&lt;&gt;"W",I668&lt;&gt;"L")),"",IF(I668="W",IF(G668&gt;0,G668/100,1),IF(G668&lt;0,G668/100,-1)))</f>
        <v/>
      </c>
      <c r="I668" s="11" t="inlineStr">
        <is>
          <t>L</t>
        </is>
      </c>
      <c r="J668" s="10" t="inlineStr">
        <is>
          <t>NYI 4, MIN 3</t>
        </is>
      </c>
      <c r="K668" s="10" t="inlineStr">
        <is>
          <t>DraftKings closing</t>
        </is>
      </c>
    </row>
    <row r="669">
      <c r="A669" s="9" t="n">
        <v>46032</v>
      </c>
      <c r="B669" s="10" t="inlineStr">
        <is>
          <t>LAK @ EDM</t>
        </is>
      </c>
      <c r="C669" s="13" t="n">
        <v>68.16</v>
      </c>
      <c r="D669" s="13" t="n">
        <v>78.95</v>
      </c>
      <c r="E669" s="13">
        <f>IF(OR(C669="",D669=""),"",ABS(C669-D669))</f>
        <v/>
      </c>
      <c r="F669" s="11" t="inlineStr">
        <is>
          <t>EDM</t>
        </is>
      </c>
      <c r="G669" s="12" t="n">
        <v>-180</v>
      </c>
      <c r="H669" s="14">
        <f>IF(OR(F669="",G669="",AND(I669&lt;&gt;"W",I669&lt;&gt;"L")),"",IF(I669="W",IF(G669&gt;0,G669/100,1),IF(G669&lt;0,G669/100,-1)))</f>
        <v/>
      </c>
      <c r="I669" s="11" t="inlineStr">
        <is>
          <t>L</t>
        </is>
      </c>
      <c r="J669" s="10" t="inlineStr">
        <is>
          <t>LAK 4, EDM 3</t>
        </is>
      </c>
      <c r="K669" s="10" t="inlineStr">
        <is>
          <t>DraftKings closing</t>
        </is>
      </c>
    </row>
    <row r="670">
      <c r="A670" s="9" t="n">
        <v>46032</v>
      </c>
      <c r="B670" s="10" t="inlineStr">
        <is>
          <t>STL @ VGK</t>
        </is>
      </c>
      <c r="C670" s="13" t="n">
        <v>66.26000000000001</v>
      </c>
      <c r="D670" s="13" t="n">
        <v>73.28</v>
      </c>
      <c r="E670" s="13">
        <f>IF(OR(C670="",D670=""),"",ABS(C670-D670))</f>
        <v/>
      </c>
      <c r="F670" s="11" t="inlineStr">
        <is>
          <t>VGK</t>
        </is>
      </c>
      <c r="G670" s="12" t="n">
        <v>-278</v>
      </c>
      <c r="H670" s="14">
        <f>IF(OR(F670="",G670="",AND(I670&lt;&gt;"W",I670&lt;&gt;"L")),"",IF(I670="W",IF(G670&gt;0,G670/100,1),IF(G670&lt;0,G670/100,-1)))</f>
        <v/>
      </c>
      <c r="I670" s="11" t="inlineStr">
        <is>
          <t>W</t>
        </is>
      </c>
      <c r="J670" s="10" t="inlineStr">
        <is>
          <t>STL 2, VGK 4</t>
        </is>
      </c>
      <c r="K670" s="10" t="inlineStr">
        <is>
          <t>DraftKings closing</t>
        </is>
      </c>
    </row>
    <row r="671">
      <c r="A671" s="9" t="n">
        <v>46033</v>
      </c>
      <c r="B671" s="10" t="inlineStr">
        <is>
          <t>NJD @ WPG</t>
        </is>
      </c>
      <c r="C671" s="13" t="n">
        <v>56.03</v>
      </c>
      <c r="D671" s="13" t="n">
        <v>71.84</v>
      </c>
      <c r="E671" s="13">
        <f>IF(OR(C671="",D671=""),"",ABS(C671-D671))</f>
        <v/>
      </c>
      <c r="F671" s="11" t="inlineStr">
        <is>
          <t>WPG</t>
        </is>
      </c>
      <c r="G671" s="12" t="n">
        <v>-130</v>
      </c>
      <c r="H671" s="14">
        <f>IF(OR(F671="",G671="",AND(I671&lt;&gt;"W",I671&lt;&gt;"L")),"",IF(I671="W",IF(G671&gt;0,G671/100,1),IF(G671&lt;0,G671/100,-1)))</f>
        <v/>
      </c>
      <c r="I671" s="11" t="inlineStr">
        <is>
          <t>W</t>
        </is>
      </c>
      <c r="J671" s="10" t="inlineStr">
        <is>
          <t>NJD 3, WPG 4</t>
        </is>
      </c>
      <c r="K671" s="10" t="inlineStr">
        <is>
          <t>DraftKings closing</t>
        </is>
      </c>
    </row>
    <row r="672">
      <c r="A672" s="9" t="n">
        <v>46033</v>
      </c>
      <c r="B672" s="10" t="inlineStr">
        <is>
          <t>PIT @ BOS</t>
        </is>
      </c>
      <c r="C672" s="13" t="n">
        <v>69.23999999999999</v>
      </c>
      <c r="D672" s="13" t="n">
        <v>98.34</v>
      </c>
      <c r="E672" s="13">
        <f>IF(OR(C672="",D672=""),"",ABS(C672-D672))</f>
        <v/>
      </c>
      <c r="F672" s="11" t="inlineStr">
        <is>
          <t>BOS</t>
        </is>
      </c>
      <c r="G672" s="12" t="n">
        <v>100</v>
      </c>
      <c r="H672" s="14">
        <f>IF(OR(F672="",G672="",AND(I672&lt;&gt;"W",I672&lt;&gt;"L")),"",IF(I672="W",IF(G672&gt;0,G672/100,1),IF(G672&lt;0,G672/100,-1)))</f>
        <v/>
      </c>
      <c r="I672" s="11" t="inlineStr">
        <is>
          <t>W</t>
        </is>
      </c>
      <c r="J672" s="10" t="inlineStr">
        <is>
          <t>PIT 0, BOS 1</t>
        </is>
      </c>
      <c r="K672" s="10" t="inlineStr">
        <is>
          <t>DraftKings closing</t>
        </is>
      </c>
    </row>
    <row r="673">
      <c r="A673" s="9" t="n">
        <v>46033</v>
      </c>
      <c r="B673" s="10" t="inlineStr">
        <is>
          <t>WSH @ NSH</t>
        </is>
      </c>
      <c r="C673" s="13" t="n">
        <v>82.04000000000001</v>
      </c>
      <c r="D673" s="13" t="n">
        <v>71.34</v>
      </c>
      <c r="E673" s="13">
        <f>IF(OR(C673="",D673=""),"",ABS(C673-D673))</f>
        <v/>
      </c>
      <c r="F673" s="11" t="inlineStr">
        <is>
          <t>WSH</t>
        </is>
      </c>
      <c r="G673" s="12" t="n">
        <v>-130</v>
      </c>
      <c r="H673" s="14">
        <f>IF(OR(F673="",G673="",AND(I673&lt;&gt;"W",I673&lt;&gt;"L")),"",IF(I673="W",IF(G673&gt;0,G673/100,1),IF(G673&lt;0,G673/100,-1)))</f>
        <v/>
      </c>
      <c r="I673" s="11" t="inlineStr">
        <is>
          <t>L</t>
        </is>
      </c>
      <c r="J673" s="10" t="inlineStr">
        <is>
          <t>WSH 2, NSH 3</t>
        </is>
      </c>
      <c r="K673" s="10" t="inlineStr">
        <is>
          <t>DraftKings closing</t>
        </is>
      </c>
    </row>
    <row r="674">
      <c r="A674" s="9" t="n">
        <v>46033</v>
      </c>
      <c r="B674" s="10" t="inlineStr">
        <is>
          <t>CBJ @ UTA</t>
        </is>
      </c>
      <c r="C674" s="13" t="n">
        <v>59.48</v>
      </c>
      <c r="D674" s="13" t="n">
        <v>73.73999999999999</v>
      </c>
      <c r="E674" s="13">
        <f>IF(OR(C674="",D674=""),"",ABS(C674-D674))</f>
        <v/>
      </c>
      <c r="F674" s="11" t="inlineStr">
        <is>
          <t>UTA</t>
        </is>
      </c>
      <c r="G674" s="12" t="n">
        <v>-175</v>
      </c>
      <c r="H674" s="14">
        <f>IF(OR(F674="",G674="",AND(I674&lt;&gt;"W",I674&lt;&gt;"L")),"",IF(I674="W",IF(G674&gt;0,G674/100,1),IF(G674&lt;0,G674/100,-1)))</f>
        <v/>
      </c>
      <c r="I674" s="11" t="inlineStr">
        <is>
          <t>L</t>
        </is>
      </c>
      <c r="J674" s="10" t="inlineStr">
        <is>
          <t>CBJ 3, UTA 2</t>
        </is>
      </c>
      <c r="K674" s="10" t="inlineStr">
        <is>
          <t>DraftKings closing</t>
        </is>
      </c>
    </row>
    <row r="675">
      <c r="A675" s="9" t="n">
        <v>46033</v>
      </c>
      <c r="B675" s="10" t="inlineStr">
        <is>
          <t>VGK @ SJS</t>
        </is>
      </c>
      <c r="C675" s="13" t="n">
        <v>76.7</v>
      </c>
      <c r="D675" s="13" t="n">
        <v>77.37</v>
      </c>
      <c r="E675" s="13">
        <f>IF(OR(C675="",D675=""),"",ABS(C675-D675))</f>
        <v/>
      </c>
      <c r="F675" s="11" t="inlineStr">
        <is>
          <t>SJS</t>
        </is>
      </c>
      <c r="G675" s="12" t="n">
        <v>120</v>
      </c>
      <c r="H675" s="14">
        <f>IF(OR(F675="",G675="",AND(I675&lt;&gt;"W",I675&lt;&gt;"L")),"",IF(I675="W",IF(G675&gt;0,G675/100,1),IF(G675&lt;0,G675/100,-1)))</f>
        <v/>
      </c>
      <c r="I675" s="11" t="inlineStr">
        <is>
          <t>L</t>
        </is>
      </c>
      <c r="J675" s="10" t="inlineStr">
        <is>
          <t>VGK 7, SJS 2</t>
        </is>
      </c>
      <c r="K675" s="10" t="inlineStr">
        <is>
          <t>DraftKings closing</t>
        </is>
      </c>
    </row>
    <row r="676">
      <c r="A676" s="9" t="n">
        <v>46034</v>
      </c>
      <c r="B676" s="10" t="inlineStr">
        <is>
          <t>FLA @ BUF</t>
        </is>
      </c>
      <c r="C676" s="13" t="n">
        <v>70.7</v>
      </c>
      <c r="D676" s="13" t="n">
        <v>69.41</v>
      </c>
      <c r="E676" s="13">
        <f>IF(OR(C676="",D676=""),"",ABS(C676-D676))</f>
        <v/>
      </c>
      <c r="F676" s="11" t="inlineStr">
        <is>
          <t>FLA</t>
        </is>
      </c>
      <c r="G676" s="12" t="n">
        <v>100</v>
      </c>
      <c r="H676" s="14">
        <f>IF(OR(F676="",G676="",AND(I676&lt;&gt;"W",I676&lt;&gt;"L")),"",IF(I676="W",IF(G676&gt;0,G676/100,1),IF(G676&lt;0,G676/100,-1)))</f>
        <v/>
      </c>
      <c r="I676" s="11" t="inlineStr">
        <is>
          <t>W</t>
        </is>
      </c>
      <c r="J676" s="10" t="inlineStr">
        <is>
          <t>FLA 4, BUF 3</t>
        </is>
      </c>
      <c r="K676" s="10" t="inlineStr">
        <is>
          <t>DraftKings closing</t>
        </is>
      </c>
    </row>
    <row r="677">
      <c r="A677" s="9" t="n">
        <v>46034</v>
      </c>
      <c r="B677" s="10" t="inlineStr">
        <is>
          <t>CAR @ DET</t>
        </is>
      </c>
      <c r="C677" s="13" t="n">
        <v>83.54000000000001</v>
      </c>
      <c r="D677" s="13" t="n">
        <v>78.31999999999999</v>
      </c>
      <c r="E677" s="13">
        <f>IF(OR(C677="",D677=""),"",ABS(C677-D677))</f>
        <v/>
      </c>
      <c r="F677" s="11" t="inlineStr">
        <is>
          <t>CAR</t>
        </is>
      </c>
      <c r="G677" s="12" t="n">
        <v>-155</v>
      </c>
      <c r="H677" s="14">
        <f>IF(OR(F677="",G677="",AND(I677&lt;&gt;"W",I677&lt;&gt;"L")),"",IF(I677="W",IF(G677&gt;0,G677/100,1),IF(G677&lt;0,G677/100,-1)))</f>
        <v/>
      </c>
      <c r="I677" s="11" t="inlineStr">
        <is>
          <t>L</t>
        </is>
      </c>
      <c r="J677" s="10" t="inlineStr">
        <is>
          <t>CAR 3, DET 4</t>
        </is>
      </c>
      <c r="K677" s="10" t="inlineStr">
        <is>
          <t>DraftKings closing</t>
        </is>
      </c>
    </row>
    <row r="678">
      <c r="A678" s="9" t="n">
        <v>46034</v>
      </c>
      <c r="B678" s="10" t="inlineStr">
        <is>
          <t>SEA @ NYR</t>
        </is>
      </c>
      <c r="C678" s="13" t="n">
        <v>56.46</v>
      </c>
      <c r="D678" s="13" t="n">
        <v>41.66</v>
      </c>
      <c r="E678" s="13">
        <f>IF(OR(C678="",D678=""),"",ABS(C678-D678))</f>
        <v/>
      </c>
      <c r="F678" s="11" t="inlineStr">
        <is>
          <t>SEA</t>
        </is>
      </c>
      <c r="G678" s="12" t="n">
        <v>120</v>
      </c>
      <c r="H678" s="14">
        <f>IF(OR(F678="",G678="",AND(I678&lt;&gt;"W",I678&lt;&gt;"L")),"",IF(I678="W",IF(G678&gt;0,G678/100,1),IF(G678&lt;0,G678/100,-1)))</f>
        <v/>
      </c>
      <c r="I678" s="11" t="inlineStr">
        <is>
          <t>W</t>
        </is>
      </c>
      <c r="J678" s="10" t="inlineStr">
        <is>
          <t>SEA 4, NYR 2</t>
        </is>
      </c>
      <c r="K678" s="10" t="inlineStr">
        <is>
          <t>DraftKings closing</t>
        </is>
      </c>
    </row>
    <row r="679">
      <c r="A679" s="9" t="n">
        <v>46034</v>
      </c>
      <c r="B679" s="10" t="inlineStr">
        <is>
          <t>TBL @ PHI</t>
        </is>
      </c>
      <c r="C679" s="13" t="n">
        <v>93.26000000000001</v>
      </c>
      <c r="D679" s="13" t="n">
        <v>46.74</v>
      </c>
      <c r="E679" s="13">
        <f>IF(OR(C679="",D679=""),"",ABS(C679-D679))</f>
        <v/>
      </c>
      <c r="F679" s="11" t="inlineStr">
        <is>
          <t>TBL</t>
        </is>
      </c>
      <c r="G679" s="12" t="n">
        <v>-142</v>
      </c>
      <c r="H679" s="14">
        <f>IF(OR(F679="",G679="",AND(I679&lt;&gt;"W",I679&lt;&gt;"L")),"",IF(I679="W",IF(G679&gt;0,G679/100,1),IF(G679&lt;0,G679/100,-1)))</f>
        <v/>
      </c>
      <c r="I679" s="11" t="inlineStr">
        <is>
          <t>W</t>
        </is>
      </c>
      <c r="J679" s="10" t="inlineStr">
        <is>
          <t>TBL 5, PHI 1</t>
        </is>
      </c>
      <c r="K679" s="10" t="inlineStr">
        <is>
          <t>DraftKings closing</t>
        </is>
      </c>
    </row>
    <row r="680">
      <c r="A680" s="9" t="n">
        <v>46034</v>
      </c>
      <c r="B680" s="10" t="inlineStr">
        <is>
          <t>VAN @ MTL</t>
        </is>
      </c>
      <c r="C680" s="13" t="n">
        <v>59.16</v>
      </c>
      <c r="D680" s="13" t="n">
        <v>61.68</v>
      </c>
      <c r="E680" s="13">
        <f>IF(OR(C680="",D680=""),"",ABS(C680-D680))</f>
        <v/>
      </c>
      <c r="F680" s="11" t="inlineStr">
        <is>
          <t>MTL</t>
        </is>
      </c>
      <c r="G680" s="12" t="n">
        <v>-192</v>
      </c>
      <c r="H680" s="14">
        <f>IF(OR(F680="",G680="",AND(I680&lt;&gt;"W",I680&lt;&gt;"L")),"",IF(I680="W",IF(G680&gt;0,G680/100,1),IF(G680&lt;0,G680/100,-1)))</f>
        <v/>
      </c>
      <c r="I680" s="11" t="inlineStr">
        <is>
          <t>W</t>
        </is>
      </c>
      <c r="J680" s="10" t="inlineStr">
        <is>
          <t>VAN 3, MTL 6</t>
        </is>
      </c>
      <c r="K680" s="10" t="inlineStr">
        <is>
          <t>DraftKings closing</t>
        </is>
      </c>
    </row>
    <row r="681">
      <c r="A681" s="9" t="n">
        <v>46034</v>
      </c>
      <c r="B681" s="10" t="inlineStr">
        <is>
          <t>NJD @ MIN</t>
        </is>
      </c>
      <c r="C681" s="13" t="n">
        <v>70.37</v>
      </c>
      <c r="D681" s="13" t="n">
        <v>72.03</v>
      </c>
      <c r="E681" s="13">
        <f>IF(OR(C681="",D681=""),"",ABS(C681-D681))</f>
        <v/>
      </c>
      <c r="F681" s="11" t="inlineStr">
        <is>
          <t>MIN</t>
        </is>
      </c>
      <c r="G681" s="12" t="n">
        <v>-175</v>
      </c>
      <c r="H681" s="14">
        <f>IF(OR(F681="",G681="",AND(I681&lt;&gt;"W",I681&lt;&gt;"L")),"",IF(I681="W",IF(G681&gt;0,G681/100,1),IF(G681&lt;0,G681/100,-1)))</f>
        <v/>
      </c>
      <c r="I681" s="11" t="inlineStr">
        <is>
          <t>L</t>
        </is>
      </c>
      <c r="J681" s="10" t="inlineStr">
        <is>
          <t>NJD 5, MIN 2</t>
        </is>
      </c>
      <c r="K681" s="10" t="inlineStr">
        <is>
          <t>DraftKings closing</t>
        </is>
      </c>
    </row>
    <row r="682">
      <c r="A682" s="9" t="n">
        <v>46034</v>
      </c>
      <c r="B682" s="10" t="inlineStr">
        <is>
          <t>EDM @ CHI</t>
        </is>
      </c>
      <c r="C682" s="13" t="n">
        <v>65.91</v>
      </c>
      <c r="D682" s="13" t="n">
        <v>68.66</v>
      </c>
      <c r="E682" s="13">
        <f>IF(OR(C682="",D682=""),"",ABS(C682-D682))</f>
        <v/>
      </c>
      <c r="F682" s="11" t="inlineStr">
        <is>
          <t>CHI</t>
        </is>
      </c>
      <c r="G682" s="12" t="n">
        <v>150</v>
      </c>
      <c r="H682" s="14">
        <f>IF(OR(F682="",G682="",AND(I682&lt;&gt;"W",I682&lt;&gt;"L")),"",IF(I682="W",IF(G682&gt;0,G682/100,1),IF(G682&lt;0,G682/100,-1)))</f>
        <v/>
      </c>
      <c r="I682" s="11" t="inlineStr">
        <is>
          <t>L</t>
        </is>
      </c>
      <c r="J682" s="10" t="inlineStr">
        <is>
          <t>EDM 4, CHI 1</t>
        </is>
      </c>
      <c r="K682" s="10" t="inlineStr">
        <is>
          <t>DraftKings closing</t>
        </is>
      </c>
    </row>
    <row r="683">
      <c r="A683" s="9" t="n">
        <v>46034</v>
      </c>
      <c r="B683" s="10" t="inlineStr">
        <is>
          <t>TOR @ COL</t>
        </is>
      </c>
      <c r="C683" s="13" t="n">
        <v>80.84</v>
      </c>
      <c r="D683" s="13" t="n">
        <v>80.52</v>
      </c>
      <c r="E683" s="13">
        <f>IF(OR(C683="",D683=""),"",ABS(C683-D683))</f>
        <v/>
      </c>
      <c r="F683" s="11" t="inlineStr">
        <is>
          <t>TOR</t>
        </is>
      </c>
      <c r="G683" s="12" t="n">
        <v>195</v>
      </c>
      <c r="H683" s="14">
        <f>IF(OR(F683="",G683="",AND(I683&lt;&gt;"W",I683&lt;&gt;"L")),"",IF(I683="W",IF(G683&gt;0,G683/100,1),IF(G683&lt;0,G683/100,-1)))</f>
        <v/>
      </c>
      <c r="I683" s="11" t="inlineStr">
        <is>
          <t>W</t>
        </is>
      </c>
      <c r="J683" s="10" t="inlineStr">
        <is>
          <t>TOR 4, COL 3</t>
        </is>
      </c>
      <c r="K683" s="10" t="inlineStr">
        <is>
          <t>DraftKings closing</t>
        </is>
      </c>
    </row>
    <row r="684">
      <c r="A684" s="9" t="n">
        <v>46034</v>
      </c>
      <c r="B684" s="10" t="inlineStr">
        <is>
          <t>DAL @ LAK</t>
        </is>
      </c>
      <c r="C684" s="13" t="n">
        <v>62.63</v>
      </c>
      <c r="D684" s="13" t="n">
        <v>74.09</v>
      </c>
      <c r="E684" s="13">
        <f>IF(OR(C684="",D684=""),"",ABS(C684-D684))</f>
        <v/>
      </c>
      <c r="F684" s="11" t="inlineStr">
        <is>
          <t>LAK</t>
        </is>
      </c>
      <c r="G684" s="12" t="n">
        <v>100</v>
      </c>
      <c r="H684" s="14">
        <f>IF(OR(F684="",G684="",AND(I684&lt;&gt;"W",I684&lt;&gt;"L")),"",IF(I684="W",IF(G684&gt;0,G684/100,1),IF(G684&lt;0,G684/100,-1)))</f>
        <v/>
      </c>
      <c r="I684" s="11" t="inlineStr">
        <is>
          <t>L</t>
        </is>
      </c>
      <c r="J684" s="10" t="inlineStr">
        <is>
          <t>DAL 3, LAK 1</t>
        </is>
      </c>
      <c r="K684" s="10" t="inlineStr">
        <is>
          <t>DraftKings closing</t>
        </is>
      </c>
    </row>
    <row r="685">
      <c r="A685" s="9" t="n">
        <v>46035</v>
      </c>
      <c r="B685" s="10" t="inlineStr">
        <is>
          <t>VAN @ OTT</t>
        </is>
      </c>
      <c r="C685" s="13" t="n">
        <v>51.74</v>
      </c>
      <c r="D685" s="13" t="n">
        <v>69.3</v>
      </c>
      <c r="E685" s="13">
        <f>IF(OR(C685="",D685=""),"",ABS(C685-D685))</f>
        <v/>
      </c>
      <c r="F685" s="11" t="inlineStr">
        <is>
          <t>OTT</t>
        </is>
      </c>
      <c r="G685" s="12" t="n">
        <v>-238</v>
      </c>
      <c r="H685" s="14">
        <f>IF(OR(F685="",G685="",AND(I685&lt;&gt;"W",I685&lt;&gt;"L")),"",IF(I685="W",IF(G685&gt;0,G685/100,1),IF(G685&lt;0,G685/100,-1)))</f>
        <v/>
      </c>
      <c r="I685" s="11" t="inlineStr">
        <is>
          <t>W</t>
        </is>
      </c>
      <c r="J685" s="10" t="inlineStr">
        <is>
          <t>VAN 1, OTT 2</t>
        </is>
      </c>
      <c r="K685" s="10" t="inlineStr">
        <is>
          <t>DraftKings closing</t>
        </is>
      </c>
    </row>
    <row r="686">
      <c r="A686" s="9" t="n">
        <v>46035</v>
      </c>
      <c r="B686" s="10" t="inlineStr">
        <is>
          <t>TBL @ PIT</t>
        </is>
      </c>
      <c r="C686" s="13" t="n">
        <v>80.09</v>
      </c>
      <c r="D686" s="13" t="n">
        <v>71.61</v>
      </c>
      <c r="E686" s="13">
        <f>IF(OR(C686="",D686=""),"",ABS(C686-D686))</f>
        <v/>
      </c>
      <c r="F686" s="11" t="inlineStr">
        <is>
          <t>TBL</t>
        </is>
      </c>
      <c r="G686" s="12" t="n">
        <v>-148</v>
      </c>
      <c r="H686" s="14">
        <f>IF(OR(F686="",G686="",AND(I686&lt;&gt;"W",I686&lt;&gt;"L")),"",IF(I686="W",IF(G686&gt;0,G686/100,1),IF(G686&lt;0,G686/100,-1)))</f>
        <v/>
      </c>
      <c r="I686" s="11" t="inlineStr">
        <is>
          <t>W</t>
        </is>
      </c>
      <c r="J686" s="10" t="inlineStr">
        <is>
          <t>TBL 2, PIT 1</t>
        </is>
      </c>
      <c r="K686" s="10" t="inlineStr">
        <is>
          <t>DraftKings closing</t>
        </is>
      </c>
    </row>
    <row r="687">
      <c r="A687" s="9" t="n">
        <v>46035</v>
      </c>
      <c r="B687" s="10" t="inlineStr">
        <is>
          <t>MTL @ WSH</t>
        </is>
      </c>
      <c r="C687" s="13" t="n">
        <v>88.26000000000001</v>
      </c>
      <c r="D687" s="13" t="n">
        <v>74.34999999999999</v>
      </c>
      <c r="E687" s="13">
        <f>IF(OR(C687="",D687=""),"",ABS(C687-D687))</f>
        <v/>
      </c>
      <c r="F687" s="11" t="inlineStr">
        <is>
          <t>MTL</t>
        </is>
      </c>
      <c r="G687" s="12" t="n">
        <v>114</v>
      </c>
      <c r="H687" s="14">
        <f>IF(OR(F687="",G687="",AND(I687&lt;&gt;"W",I687&lt;&gt;"L")),"",IF(I687="W",IF(G687&gt;0,G687/100,1),IF(G687&lt;0,G687/100,-1)))</f>
        <v/>
      </c>
      <c r="I687" s="11" t="inlineStr">
        <is>
          <t>L</t>
        </is>
      </c>
      <c r="J687" s="10" t="inlineStr">
        <is>
          <t>MTL 2, WSH 3</t>
        </is>
      </c>
      <c r="K687" s="10" t="inlineStr">
        <is>
          <t>DraftKings closing</t>
        </is>
      </c>
    </row>
    <row r="688">
      <c r="A688" s="9" t="n">
        <v>46035</v>
      </c>
      <c r="B688" s="10" t="inlineStr">
        <is>
          <t>CGY @ CBJ</t>
        </is>
      </c>
      <c r="C688" s="13" t="n">
        <v>70.76000000000001</v>
      </c>
      <c r="D688" s="13" t="n">
        <v>77.56999999999999</v>
      </c>
      <c r="E688" s="13">
        <f>IF(OR(C688="",D688=""),"",ABS(C688-D688))</f>
        <v/>
      </c>
      <c r="F688" s="11" t="inlineStr">
        <is>
          <t>CBJ</t>
        </is>
      </c>
      <c r="G688" s="12" t="n">
        <v>-148</v>
      </c>
      <c r="H688" s="14">
        <f>IF(OR(F688="",G688="",AND(I688&lt;&gt;"W",I688&lt;&gt;"L")),"",IF(I688="W",IF(G688&gt;0,G688/100,1),IF(G688&lt;0,G688/100,-1)))</f>
        <v/>
      </c>
      <c r="I688" s="11" t="inlineStr">
        <is>
          <t>W</t>
        </is>
      </c>
      <c r="J688" s="10" t="inlineStr">
        <is>
          <t>CGY 3, CBJ 5</t>
        </is>
      </c>
      <c r="K688" s="10" t="inlineStr">
        <is>
          <t>DraftKings closing</t>
        </is>
      </c>
    </row>
    <row r="689">
      <c r="A689" s="9" t="n">
        <v>46035</v>
      </c>
      <c r="B689" s="10" t="inlineStr">
        <is>
          <t>DET @ BOS</t>
        </is>
      </c>
      <c r="C689" s="13" t="n">
        <v>60.27</v>
      </c>
      <c r="D689" s="13" t="n">
        <v>68.39</v>
      </c>
      <c r="E689" s="13">
        <f>IF(OR(C689="",D689=""),"",ABS(C689-D689))</f>
        <v/>
      </c>
      <c r="F689" s="11" t="inlineStr">
        <is>
          <t>BOS</t>
        </is>
      </c>
      <c r="G689" s="12" t="n">
        <v>-148</v>
      </c>
      <c r="H689" s="14">
        <f>IF(OR(F689="",G689="",AND(I689&lt;&gt;"W",I689&lt;&gt;"L")),"",IF(I689="W",IF(G689&gt;0,G689/100,1),IF(G689&lt;0,G689/100,-1)))</f>
        <v/>
      </c>
      <c r="I689" s="11" t="inlineStr">
        <is>
          <t>W</t>
        </is>
      </c>
      <c r="J689" s="10" t="inlineStr">
        <is>
          <t>DET 0, BOS 3</t>
        </is>
      </c>
      <c r="K689" s="10" t="inlineStr">
        <is>
          <t>DraftKings closing</t>
        </is>
      </c>
    </row>
    <row r="690">
      <c r="A690" s="9" t="n">
        <v>46035</v>
      </c>
      <c r="B690" s="10" t="inlineStr">
        <is>
          <t>CAR @ STL</t>
        </is>
      </c>
      <c r="C690" s="13" t="n">
        <v>79.73</v>
      </c>
      <c r="D690" s="13" t="n">
        <v>63.3</v>
      </c>
      <c r="E690" s="13">
        <f>IF(OR(C690="",D690=""),"",ABS(C690-D690))</f>
        <v/>
      </c>
      <c r="F690" s="11" t="inlineStr">
        <is>
          <t>CAR</t>
        </is>
      </c>
      <c r="G690" s="12" t="n">
        <v>-180</v>
      </c>
      <c r="H690" s="14">
        <f>IF(OR(F690="",G690="",AND(I690&lt;&gt;"W",I690&lt;&gt;"L")),"",IF(I690="W",IF(G690&gt;0,G690/100,1),IF(G690&lt;0,G690/100,-1)))</f>
        <v/>
      </c>
      <c r="I690" s="11" t="inlineStr">
        <is>
          <t>L</t>
        </is>
      </c>
      <c r="J690" s="10" t="inlineStr">
        <is>
          <t>CAR 0, STL 3</t>
        </is>
      </c>
      <c r="K690" s="10" t="inlineStr">
        <is>
          <t>DraftKings closing</t>
        </is>
      </c>
    </row>
    <row r="691">
      <c r="A691" s="9" t="n">
        <v>46035</v>
      </c>
      <c r="B691" s="10" t="inlineStr">
        <is>
          <t>EDM @ NSH</t>
        </is>
      </c>
      <c r="C691" s="13" t="n">
        <v>81.76000000000001</v>
      </c>
      <c r="D691" s="13" t="n">
        <v>65.65000000000001</v>
      </c>
      <c r="E691" s="13">
        <f>IF(OR(C691="",D691=""),"",ABS(C691-D691))</f>
        <v/>
      </c>
      <c r="F691" s="11" t="inlineStr">
        <is>
          <t>EDM</t>
        </is>
      </c>
      <c r="G691" s="12" t="n">
        <v>-135</v>
      </c>
      <c r="H691" s="14">
        <f>IF(OR(F691="",G691="",AND(I691&lt;&gt;"W",I691&lt;&gt;"L")),"",IF(I691="W",IF(G691&gt;0,G691/100,1),IF(G691&lt;0,G691/100,-1)))</f>
        <v/>
      </c>
      <c r="I691" s="11" t="inlineStr">
        <is>
          <t>L</t>
        </is>
      </c>
      <c r="J691" s="10" t="inlineStr">
        <is>
          <t>EDM 3, NSH 4</t>
        </is>
      </c>
      <c r="K691" s="10" t="inlineStr">
        <is>
          <t>DraftKings closing</t>
        </is>
      </c>
    </row>
    <row r="692">
      <c r="A692" s="9" t="n">
        <v>46035</v>
      </c>
      <c r="B692" s="10" t="inlineStr">
        <is>
          <t>NYI @ WPG</t>
        </is>
      </c>
      <c r="C692" s="13" t="n">
        <v>67.97</v>
      </c>
      <c r="D692" s="13" t="n">
        <v>69.63</v>
      </c>
      <c r="E692" s="13">
        <f>IF(OR(C692="",D692=""),"",ABS(C692-D692))</f>
        <v/>
      </c>
      <c r="F692" s="11" t="inlineStr">
        <is>
          <t>WPG</t>
        </is>
      </c>
      <c r="G692" s="12" t="n">
        <v>-130</v>
      </c>
      <c r="H692" s="14">
        <f>IF(OR(F692="",G692="",AND(I692&lt;&gt;"W",I692&lt;&gt;"L")),"",IF(I692="W",IF(G692&gt;0,G692/100,1),IF(G692&lt;0,G692/100,-1)))</f>
        <v/>
      </c>
      <c r="I692" s="11" t="inlineStr">
        <is>
          <t>W</t>
        </is>
      </c>
      <c r="J692" s="10" t="inlineStr">
        <is>
          <t>NYI 4, WPG 5</t>
        </is>
      </c>
      <c r="K692" s="10" t="inlineStr">
        <is>
          <t>DraftKings closing</t>
        </is>
      </c>
    </row>
    <row r="693">
      <c r="A693" s="9" t="n">
        <v>46035</v>
      </c>
      <c r="B693" s="10" t="inlineStr">
        <is>
          <t>TOR @ UTA</t>
        </is>
      </c>
      <c r="C693" s="13" t="n">
        <v>66.13</v>
      </c>
      <c r="D693" s="13" t="n">
        <v>62.43</v>
      </c>
      <c r="E693" s="13">
        <f>IF(OR(C693="",D693=""),"",ABS(C693-D693))</f>
        <v/>
      </c>
      <c r="F693" s="11" t="inlineStr">
        <is>
          <t>TOR</t>
        </is>
      </c>
      <c r="G693" s="12" t="n">
        <v>136</v>
      </c>
      <c r="H693" s="14">
        <f>IF(OR(F693="",G693="",AND(I693&lt;&gt;"W",I693&lt;&gt;"L")),"",IF(I693="W",IF(G693&gt;0,G693/100,1),IF(G693&lt;0,G693/100,-1)))</f>
        <v/>
      </c>
      <c r="I693" s="11" t="inlineStr">
        <is>
          <t>L</t>
        </is>
      </c>
      <c r="J693" s="10" t="inlineStr">
        <is>
          <t>TOR 1, UTA 6</t>
        </is>
      </c>
      <c r="K693" s="10" t="inlineStr">
        <is>
          <t>DraftKings closing</t>
        </is>
      </c>
    </row>
    <row r="694">
      <c r="A694" s="9" t="n">
        <v>46035</v>
      </c>
      <c r="B694" s="10" t="inlineStr">
        <is>
          <t>DAL @ ANA</t>
        </is>
      </c>
      <c r="C694" s="13" t="n">
        <v>73</v>
      </c>
      <c r="D694" s="13" t="n">
        <v>70.59</v>
      </c>
      <c r="E694" s="13">
        <f>IF(OR(C694="",D694=""),"",ABS(C694-D694))</f>
        <v/>
      </c>
      <c r="F694" s="11" t="inlineStr">
        <is>
          <t>DAL</t>
        </is>
      </c>
      <c r="G694" s="12" t="n">
        <v>-125</v>
      </c>
      <c r="H694" s="14">
        <f>IF(OR(F694="",G694="",AND(I694&lt;&gt;"W",I694&lt;&gt;"L")),"",IF(I694="W",IF(G694&gt;0,G694/100,1),IF(G694&lt;0,G694/100,-1)))</f>
        <v/>
      </c>
      <c r="I694" s="11" t="inlineStr">
        <is>
          <t>L</t>
        </is>
      </c>
      <c r="J694" s="10" t="inlineStr">
        <is>
          <t>DAL 1, ANA 3</t>
        </is>
      </c>
      <c r="K694" s="10" t="inlineStr">
        <is>
          <t>DraftKings closing</t>
        </is>
      </c>
    </row>
    <row r="695">
      <c r="A695" s="9" t="n">
        <v>46036</v>
      </c>
      <c r="B695" s="10" t="inlineStr">
        <is>
          <t>SEA @ NJD</t>
        </is>
      </c>
      <c r="C695" s="13" t="n">
        <v>72.45</v>
      </c>
      <c r="D695" s="13" t="n">
        <v>80.44</v>
      </c>
      <c r="E695" s="13">
        <f>IF(OR(C695="",D695=""),"",ABS(C695-D695))</f>
        <v/>
      </c>
      <c r="F695" s="11" t="inlineStr">
        <is>
          <t>NJD</t>
        </is>
      </c>
      <c r="G695" s="12" t="n">
        <v>-162</v>
      </c>
      <c r="H695" s="14">
        <f>IF(OR(F695="",G695="",AND(I695&lt;&gt;"W",I695&lt;&gt;"L")),"",IF(I695="W",IF(G695&gt;0,G695/100,1),IF(G695&lt;0,G695/100,-1)))</f>
        <v/>
      </c>
      <c r="I695" s="11" t="inlineStr">
        <is>
          <t>W</t>
        </is>
      </c>
      <c r="J695" s="10" t="inlineStr">
        <is>
          <t>SEA 2, NJD 3</t>
        </is>
      </c>
      <c r="K695" s="10" t="inlineStr">
        <is>
          <t>DraftKings closing</t>
        </is>
      </c>
    </row>
    <row r="696">
      <c r="A696" s="9" t="n">
        <v>46036</v>
      </c>
      <c r="B696" s="10" t="inlineStr">
        <is>
          <t>PHI @ BUF</t>
        </is>
      </c>
      <c r="C696" s="13" t="n">
        <v>59.91</v>
      </c>
      <c r="D696" s="13" t="n">
        <v>62.8</v>
      </c>
      <c r="E696" s="13">
        <f>IF(OR(C696="",D696=""),"",ABS(C696-D696))</f>
        <v/>
      </c>
      <c r="F696" s="11" t="inlineStr">
        <is>
          <t>BUF</t>
        </is>
      </c>
      <c r="G696" s="12" t="n">
        <v>-142</v>
      </c>
      <c r="H696" s="14">
        <f>IF(OR(F696="",G696="",AND(I696&lt;&gt;"W",I696&lt;&gt;"L")),"",IF(I696="W",IF(G696&gt;0,G696/100,1),IF(G696&lt;0,G696/100,-1)))</f>
        <v/>
      </c>
      <c r="I696" s="11" t="inlineStr">
        <is>
          <t>W</t>
        </is>
      </c>
      <c r="J696" s="10" t="inlineStr">
        <is>
          <t>PHI 2, BUF 5</t>
        </is>
      </c>
      <c r="K696" s="10" t="inlineStr">
        <is>
          <t>DraftKings closing</t>
        </is>
      </c>
    </row>
    <row r="697">
      <c r="A697" s="9" t="n">
        <v>46036</v>
      </c>
      <c r="B697" s="10" t="inlineStr">
        <is>
          <t>OTT @ NYR</t>
        </is>
      </c>
      <c r="C697" s="13" t="n">
        <v>80.84</v>
      </c>
      <c r="D697" s="13" t="n">
        <v>67.55</v>
      </c>
      <c r="E697" s="13">
        <f>IF(OR(C697="",D697=""),"",ABS(C697-D697))</f>
        <v/>
      </c>
      <c r="F697" s="11" t="inlineStr">
        <is>
          <t>OTT</t>
        </is>
      </c>
      <c r="G697" s="12" t="n">
        <v>-122</v>
      </c>
      <c r="H697" s="14">
        <f>IF(OR(F697="",G697="",AND(I697&lt;&gt;"W",I697&lt;&gt;"L")),"",IF(I697="W",IF(G697&gt;0,G697/100,1),IF(G697&lt;0,G697/100,-1)))</f>
        <v/>
      </c>
      <c r="I697" s="11" t="inlineStr">
        <is>
          <t>W</t>
        </is>
      </c>
      <c r="J697" s="10" t="inlineStr">
        <is>
          <t>OTT 8, NYR 4</t>
        </is>
      </c>
      <c r="K697" s="10" t="inlineStr">
        <is>
          <t>DraftKings closing</t>
        </is>
      </c>
    </row>
    <row r="698">
      <c r="A698" s="9" t="n">
        <v>46036</v>
      </c>
      <c r="B698" s="10" t="inlineStr">
        <is>
          <t>VGK @ LAK</t>
        </is>
      </c>
      <c r="C698" s="13" t="n">
        <v>89.48999999999999</v>
      </c>
      <c r="D698" s="13" t="n">
        <v>67</v>
      </c>
      <c r="E698" s="13">
        <f>IF(OR(C698="",D698=""),"",ABS(C698-D698))</f>
        <v/>
      </c>
      <c r="F698" s="11" t="inlineStr">
        <is>
          <t>VGK</t>
        </is>
      </c>
      <c r="G698" s="12" t="n">
        <v>-122</v>
      </c>
      <c r="H698" s="14">
        <f>IF(OR(F698="",G698="",AND(I698&lt;&gt;"W",I698&lt;&gt;"L")),"",IF(I698="W",IF(G698&gt;0,G698/100,1),IF(G698&lt;0,G698/100,-1)))</f>
        <v/>
      </c>
      <c r="I698" s="11" t="inlineStr">
        <is>
          <t>W</t>
        </is>
      </c>
      <c r="J698" s="10" t="inlineStr">
        <is>
          <t>VGK 3, LAK 2</t>
        </is>
      </c>
      <c r="K698" s="10" t="inlineStr">
        <is>
          <t>DraftKings closing</t>
        </is>
      </c>
    </row>
    <row r="699">
      <c r="A699" s="9" t="n">
        <v>46037</v>
      </c>
      <c r="B699" s="10" t="inlineStr">
        <is>
          <t>MTL @ BUF</t>
        </is>
      </c>
      <c r="C699" s="13" t="n">
        <v>58.58</v>
      </c>
      <c r="D699" s="13" t="n">
        <v>73.87</v>
      </c>
      <c r="E699" s="13">
        <f>IF(OR(C699="",D699=""),"",ABS(C699-D699))</f>
        <v/>
      </c>
      <c r="F699" s="11" t="inlineStr">
        <is>
          <t>BUF</t>
        </is>
      </c>
      <c r="G699" s="12" t="n">
        <v>105</v>
      </c>
      <c r="H699" s="14">
        <f>IF(OR(F699="",G699="",AND(I699&lt;&gt;"W",I699&lt;&gt;"L")),"",IF(I699="W",IF(G699&gt;0,G699/100,1),IF(G699&lt;0,G699/100,-1)))</f>
        <v/>
      </c>
      <c r="I699" s="11" t="inlineStr">
        <is>
          <t>W</t>
        </is>
      </c>
      <c r="J699" s="10" t="inlineStr">
        <is>
          <t>MTL 3, BUF 5</t>
        </is>
      </c>
      <c r="K699" s="10" t="inlineStr">
        <is>
          <t>DraftKings closing</t>
        </is>
      </c>
    </row>
    <row r="700">
      <c r="A700" s="9" t="n">
        <v>46037</v>
      </c>
      <c r="B700" s="10" t="inlineStr">
        <is>
          <t>PHI @ PIT</t>
        </is>
      </c>
      <c r="C700" s="13" t="n">
        <v>66.13</v>
      </c>
      <c r="D700" s="13" t="n">
        <v>66.69</v>
      </c>
      <c r="E700" s="13">
        <f>IF(OR(C700="",D700=""),"",ABS(C700-D700))</f>
        <v/>
      </c>
      <c r="F700" s="11" t="inlineStr">
        <is>
          <t>PIT</t>
        </is>
      </c>
      <c r="G700" s="12" t="n">
        <v>-175</v>
      </c>
      <c r="H700" s="14">
        <f>IF(OR(F700="",G700="",AND(I700&lt;&gt;"W",I700&lt;&gt;"L")),"",IF(I700="W",IF(G700&gt;0,G700/100,1),IF(G700&lt;0,G700/100,-1)))</f>
        <v/>
      </c>
      <c r="I700" s="11" t="inlineStr">
        <is>
          <t>W</t>
        </is>
      </c>
      <c r="J700" s="10" t="inlineStr">
        <is>
          <t>PHI 3, PIT 6</t>
        </is>
      </c>
      <c r="K700" s="10" t="inlineStr">
        <is>
          <t>DraftKings closing</t>
        </is>
      </c>
    </row>
    <row r="701">
      <c r="A701" s="9" t="n">
        <v>46037</v>
      </c>
      <c r="B701" s="10" t="inlineStr">
        <is>
          <t>SJS @ WSH</t>
        </is>
      </c>
      <c r="C701" s="13" t="n">
        <v>50.51</v>
      </c>
      <c r="D701" s="13" t="n">
        <v>81.42</v>
      </c>
      <c r="E701" s="13">
        <f>IF(OR(C701="",D701=""),"",ABS(C701-D701))</f>
        <v/>
      </c>
      <c r="F701" s="11" t="inlineStr">
        <is>
          <t>WSH</t>
        </is>
      </c>
      <c r="G701" s="12" t="n">
        <v>-175</v>
      </c>
      <c r="H701" s="14">
        <f>IF(OR(F701="",G701="",AND(I701&lt;&gt;"W",I701&lt;&gt;"L")),"",IF(I701="W",IF(G701&gt;0,G701/100,1),IF(G701&lt;0,G701/100,-1)))</f>
        <v/>
      </c>
      <c r="I701" s="11" t="inlineStr">
        <is>
          <t>L</t>
        </is>
      </c>
      <c r="J701" s="10" t="inlineStr">
        <is>
          <t>SJS 3, WSH 2</t>
        </is>
      </c>
      <c r="K701" s="10" t="inlineStr">
        <is>
          <t>DraftKings closing</t>
        </is>
      </c>
    </row>
    <row r="702">
      <c r="A702" s="9" t="n">
        <v>46037</v>
      </c>
      <c r="B702" s="10" t="inlineStr">
        <is>
          <t>VAN @ CBJ</t>
        </is>
      </c>
      <c r="C702" s="13" t="n">
        <v>59.16</v>
      </c>
      <c r="D702" s="13" t="n">
        <v>76.3</v>
      </c>
      <c r="E702" s="13">
        <f>IF(OR(C702="",D702=""),"",ABS(C702-D702))</f>
        <v/>
      </c>
      <c r="F702" s="11" t="inlineStr">
        <is>
          <t>CBJ</t>
        </is>
      </c>
      <c r="G702" s="12" t="n">
        <v>-166</v>
      </c>
      <c r="H702" s="14">
        <f>IF(OR(F702="",G702="",AND(I702&lt;&gt;"W",I702&lt;&gt;"L")),"",IF(I702="W",IF(G702&gt;0,G702/100,1),IF(G702&lt;0,G702/100,-1)))</f>
        <v/>
      </c>
      <c r="I702" s="11" t="inlineStr">
        <is>
          <t>W</t>
        </is>
      </c>
      <c r="J702" s="10" t="inlineStr">
        <is>
          <t>VAN 1, CBJ 4</t>
        </is>
      </c>
      <c r="K702" s="10" t="inlineStr">
        <is>
          <t>DraftKings closing</t>
        </is>
      </c>
    </row>
    <row r="703">
      <c r="A703" s="9" t="n">
        <v>46037</v>
      </c>
      <c r="B703" s="10" t="inlineStr">
        <is>
          <t>SEA @ BOS</t>
        </is>
      </c>
      <c r="C703" s="13" t="n">
        <v>62.03</v>
      </c>
      <c r="D703" s="13" t="n">
        <v>82.23999999999999</v>
      </c>
      <c r="E703" s="13">
        <f>IF(OR(C703="",D703=""),"",ABS(C703-D703))</f>
        <v/>
      </c>
      <c r="F703" s="11" t="inlineStr">
        <is>
          <t>BOS</t>
        </is>
      </c>
      <c r="G703" s="12" t="n">
        <v>-175</v>
      </c>
      <c r="H703" s="14">
        <f>IF(OR(F703="",G703="",AND(I703&lt;&gt;"W",I703&lt;&gt;"L")),"",IF(I703="W",IF(G703&gt;0,G703/100,1),IF(G703&lt;0,G703/100,-1)))</f>
        <v/>
      </c>
      <c r="I703" s="11" t="inlineStr">
        <is>
          <t>W</t>
        </is>
      </c>
      <c r="J703" s="10" t="inlineStr">
        <is>
          <t>SEA 2, BOS 4</t>
        </is>
      </c>
      <c r="K703" s="10" t="inlineStr">
        <is>
          <t>DraftKings closing</t>
        </is>
      </c>
    </row>
    <row r="704">
      <c r="A704" s="9" t="n">
        <v>46037</v>
      </c>
      <c r="B704" s="10" t="inlineStr">
        <is>
          <t>WPG @ MIN</t>
        </is>
      </c>
      <c r="C704" s="13" t="n">
        <v>72.75</v>
      </c>
      <c r="D704" s="13" t="n">
        <v>59.56</v>
      </c>
      <c r="E704" s="13">
        <f>IF(OR(C704="",D704=""),"",ABS(C704-D704))</f>
        <v/>
      </c>
      <c r="F704" s="11" t="inlineStr">
        <is>
          <t>WPG</t>
        </is>
      </c>
      <c r="G704" s="12" t="n">
        <v>114</v>
      </c>
      <c r="H704" s="14">
        <f>IF(OR(F704="",G704="",AND(I704&lt;&gt;"W",I704&lt;&gt;"L")),"",IF(I704="W",IF(G704&gt;0,G704/100,1),IF(G704&lt;0,G704/100,-1)))</f>
        <v/>
      </c>
      <c r="I704" s="11" t="inlineStr">
        <is>
          <t>W</t>
        </is>
      </c>
      <c r="J704" s="10" t="inlineStr">
        <is>
          <t>WPG 6, MIN 2</t>
        </is>
      </c>
      <c r="K704" s="10" t="inlineStr">
        <is>
          <t>DraftKings closing</t>
        </is>
      </c>
    </row>
    <row r="705">
      <c r="A705" s="9" t="n">
        <v>46037</v>
      </c>
      <c r="B705" s="10" t="inlineStr">
        <is>
          <t>CGY @ CHI</t>
        </is>
      </c>
      <c r="C705" s="13" t="n">
        <v>63.7</v>
      </c>
      <c r="D705" s="13" t="n">
        <v>58.24</v>
      </c>
      <c r="E705" s="13">
        <f>IF(OR(C705="",D705=""),"",ABS(C705-D705))</f>
        <v/>
      </c>
      <c r="F705" s="11" t="inlineStr">
        <is>
          <t>CGY</t>
        </is>
      </c>
      <c r="G705" s="12" t="n">
        <v>100</v>
      </c>
      <c r="H705" s="14">
        <f>IF(OR(F705="",G705="",AND(I705&lt;&gt;"W",I705&lt;&gt;"L")),"",IF(I705="W",IF(G705&gt;0,G705/100,1),IF(G705&lt;0,G705/100,-1)))</f>
        <v/>
      </c>
      <c r="I705" s="11" t="inlineStr">
        <is>
          <t>W</t>
        </is>
      </c>
      <c r="J705" s="10" t="inlineStr">
        <is>
          <t>CGY 3, CHI 1</t>
        </is>
      </c>
      <c r="K705" s="10" t="inlineStr">
        <is>
          <t>DraftKings closing</t>
        </is>
      </c>
    </row>
    <row r="706">
      <c r="A706" s="9" t="n">
        <v>46037</v>
      </c>
      <c r="B706" s="10" t="inlineStr">
        <is>
          <t>DAL @ UTA</t>
        </is>
      </c>
      <c r="C706" s="13" t="n">
        <v>57.76</v>
      </c>
      <c r="D706" s="13" t="n">
        <v>100</v>
      </c>
      <c r="E706" s="13">
        <f>IF(OR(C706="",D706=""),"",ABS(C706-D706))</f>
        <v/>
      </c>
      <c r="F706" s="11" t="inlineStr">
        <is>
          <t>UTA</t>
        </is>
      </c>
      <c r="G706" s="12" t="n">
        <v>-130</v>
      </c>
      <c r="H706" s="14">
        <f>IF(OR(F706="",G706="",AND(I706&lt;&gt;"W",I706&lt;&gt;"L")),"",IF(I706="W",IF(G706&gt;0,G706/100,1),IF(G706&lt;0,G706/100,-1)))</f>
        <v/>
      </c>
      <c r="I706" s="11" t="inlineStr">
        <is>
          <t>W</t>
        </is>
      </c>
      <c r="J706" s="10" t="inlineStr">
        <is>
          <t>DAL 1, UTA 2</t>
        </is>
      </c>
      <c r="K706" s="10" t="inlineStr">
        <is>
          <t>DraftKings closing</t>
        </is>
      </c>
    </row>
    <row r="707">
      <c r="A707" s="9" t="n">
        <v>46037</v>
      </c>
      <c r="B707" s="10" t="inlineStr">
        <is>
          <t>NYI @ EDM</t>
        </is>
      </c>
      <c r="C707" s="13" t="n">
        <v>67.25</v>
      </c>
      <c r="D707" s="13" t="n">
        <v>67.09999999999999</v>
      </c>
      <c r="E707" s="13">
        <f>IF(OR(C707="",D707=""),"",ABS(C707-D707))</f>
        <v/>
      </c>
      <c r="F707" s="11" t="inlineStr">
        <is>
          <t>NYI</t>
        </is>
      </c>
      <c r="G707" s="12" t="n">
        <v>142</v>
      </c>
      <c r="H707" s="14">
        <f>IF(OR(F707="",G707="",AND(I707&lt;&gt;"W",I707&lt;&gt;"L")),"",IF(I707="W",IF(G707&gt;0,G707/100,1),IF(G707&lt;0,G707/100,-1)))</f>
        <v/>
      </c>
      <c r="I707" s="11" t="inlineStr">
        <is>
          <t>W</t>
        </is>
      </c>
      <c r="J707" s="10" t="inlineStr">
        <is>
          <t>NYI 1, EDM 0</t>
        </is>
      </c>
      <c r="K707" s="10" t="inlineStr">
        <is>
          <t>DraftKings closing</t>
        </is>
      </c>
    </row>
    <row r="708">
      <c r="A708" s="9" t="n">
        <v>46037</v>
      </c>
      <c r="B708" s="10" t="inlineStr">
        <is>
          <t>TOR @ VGK</t>
        </is>
      </c>
      <c r="C708" s="13" t="n">
        <v>34.27</v>
      </c>
      <c r="D708" s="13" t="n">
        <v>68.04000000000001</v>
      </c>
      <c r="E708" s="13">
        <f>IF(OR(C708="",D708=""),"",ABS(C708-D708))</f>
        <v/>
      </c>
      <c r="F708" s="11" t="inlineStr">
        <is>
          <t>VGK</t>
        </is>
      </c>
      <c r="G708" s="12" t="n">
        <v>-130</v>
      </c>
      <c r="H708" s="14">
        <f>IF(OR(F708="",G708="",AND(I708&lt;&gt;"W",I708&lt;&gt;"L")),"",IF(I708="W",IF(G708&gt;0,G708/100,1),IF(G708&lt;0,G708/100,-1)))</f>
        <v/>
      </c>
      <c r="I708" s="11" t="inlineStr">
        <is>
          <t>W</t>
        </is>
      </c>
      <c r="J708" s="10" t="inlineStr">
        <is>
          <t>TOR 5, VGK 6</t>
        </is>
      </c>
      <c r="K708" s="10" t="inlineStr">
        <is>
          <t>DraftKings closing</t>
        </is>
      </c>
    </row>
    <row r="709">
      <c r="A709" s="9" t="n">
        <v>46038</v>
      </c>
      <c r="B709" s="10" t="inlineStr">
        <is>
          <t>SJS @ DET</t>
        </is>
      </c>
      <c r="C709" s="13" t="n">
        <v>77.62</v>
      </c>
      <c r="D709" s="13" t="n">
        <v>57.76</v>
      </c>
      <c r="E709" s="13">
        <f>IF(OR(C709="",D709=""),"",ABS(C709-D709))</f>
        <v/>
      </c>
      <c r="F709" s="11" t="inlineStr">
        <is>
          <t>SJS</t>
        </is>
      </c>
      <c r="G709" s="12" t="n">
        <v>140</v>
      </c>
      <c r="H709" s="14">
        <f>IF(OR(F709="",G709="",AND(I709&lt;&gt;"W",I709&lt;&gt;"L")),"",IF(I709="W",IF(G709&gt;0,G709/100,1),IF(G709&lt;0,G709/100,-1)))</f>
        <v/>
      </c>
      <c r="I709" s="11" t="inlineStr">
        <is>
          <t>L</t>
        </is>
      </c>
      <c r="J709" s="10" t="inlineStr">
        <is>
          <t>SJS 2, DET 4</t>
        </is>
      </c>
      <c r="K709" s="10" t="inlineStr">
        <is>
          <t>DraftKings closing</t>
        </is>
      </c>
    </row>
    <row r="710">
      <c r="A710" s="9" t="n">
        <v>46038</v>
      </c>
      <c r="B710" s="10" t="inlineStr">
        <is>
          <t>FLA @ CAR</t>
        </is>
      </c>
      <c r="C710" s="13" t="n">
        <v>77.2</v>
      </c>
      <c r="D710" s="13" t="n">
        <v>67.19</v>
      </c>
      <c r="E710" s="13">
        <f>IF(OR(C710="",D710=""),"",ABS(C710-D710))</f>
        <v/>
      </c>
      <c r="F710" s="11" t="inlineStr">
        <is>
          <t>FLA</t>
        </is>
      </c>
      <c r="G710" s="12" t="n">
        <v>150</v>
      </c>
      <c r="H710" s="14">
        <f>IF(OR(F710="",G710="",AND(I710&lt;&gt;"W",I710&lt;&gt;"L")),"",IF(I710="W",IF(G710&gt;0,G710/100,1),IF(G710&lt;0,G710/100,-1)))</f>
        <v/>
      </c>
      <c r="I710" s="11" t="inlineStr">
        <is>
          <t>L</t>
        </is>
      </c>
      <c r="J710" s="10" t="inlineStr">
        <is>
          <t>FLA 1, CAR 9</t>
        </is>
      </c>
      <c r="K710" s="10" t="inlineStr">
        <is>
          <t>DraftKings closing</t>
        </is>
      </c>
    </row>
    <row r="711">
      <c r="A711" s="9" t="n">
        <v>46038</v>
      </c>
      <c r="B711" s="10" t="inlineStr">
        <is>
          <t>TBL @ STL</t>
        </is>
      </c>
      <c r="C711" s="13" t="n">
        <v>73.31</v>
      </c>
      <c r="D711" s="13" t="n">
        <v>72.81</v>
      </c>
      <c r="E711" s="13">
        <f>IF(OR(C711="",D711=""),"",ABS(C711-D711))</f>
        <v/>
      </c>
      <c r="F711" s="11" t="inlineStr">
        <is>
          <t>TBL</t>
        </is>
      </c>
      <c r="G711" s="12" t="n">
        <v>-205</v>
      </c>
      <c r="H711" s="14">
        <f>IF(OR(F711="",G711="",AND(I711&lt;&gt;"W",I711&lt;&gt;"L")),"",IF(I711="W",IF(G711&gt;0,G711/100,1),IF(G711&lt;0,G711/100,-1)))</f>
        <v/>
      </c>
      <c r="I711" s="11" t="inlineStr">
        <is>
          <t>L</t>
        </is>
      </c>
      <c r="J711" s="10" t="inlineStr">
        <is>
          <t>TBL 2, STL 3</t>
        </is>
      </c>
      <c r="K711" s="10" t="inlineStr">
        <is>
          <t>DraftKings closing</t>
        </is>
      </c>
    </row>
    <row r="712">
      <c r="A712" s="9" t="n">
        <v>46038</v>
      </c>
      <c r="B712" s="10" t="inlineStr">
        <is>
          <t>NSH @ COL</t>
        </is>
      </c>
      <c r="C712" s="13" t="n">
        <v>72.90000000000001</v>
      </c>
      <c r="D712" s="13" t="n">
        <v>73.87</v>
      </c>
      <c r="E712" s="13">
        <f>IF(OR(C712="",D712=""),"",ABS(C712-D712))</f>
        <v/>
      </c>
      <c r="F712" s="11" t="inlineStr">
        <is>
          <t>COL</t>
        </is>
      </c>
      <c r="G712" s="12" t="n">
        <v>-325</v>
      </c>
      <c r="H712" s="14">
        <f>IF(OR(F712="",G712="",AND(I712&lt;&gt;"W",I712&lt;&gt;"L")),"",IF(I712="W",IF(G712&gt;0,G712/100,1),IF(G712&lt;0,G712/100,-1)))</f>
        <v/>
      </c>
      <c r="I712" s="11" t="inlineStr">
        <is>
          <t>L</t>
        </is>
      </c>
      <c r="J712" s="10" t="inlineStr">
        <is>
          <t>NSH 7, COL 3</t>
        </is>
      </c>
      <c r="K712" s="10" t="inlineStr">
        <is>
          <t>DraftKings closing</t>
        </is>
      </c>
    </row>
    <row r="713">
      <c r="A713" s="9" t="n">
        <v>46038</v>
      </c>
      <c r="B713" s="10" t="inlineStr">
        <is>
          <t>ANA @ LAK</t>
        </is>
      </c>
      <c r="C713" s="13" t="n">
        <v>82.23999999999999</v>
      </c>
      <c r="D713" s="13" t="n">
        <v>71.95999999999999</v>
      </c>
      <c r="E713" s="13">
        <f>IF(OR(C713="",D713=""),"",ABS(C713-D713))</f>
        <v/>
      </c>
      <c r="F713" s="11" t="inlineStr">
        <is>
          <t>ANA</t>
        </is>
      </c>
      <c r="G713" s="12" t="n">
        <v>124</v>
      </c>
      <c r="H713" s="14">
        <f>IF(OR(F713="",G713="",AND(I713&lt;&gt;"W",I713&lt;&gt;"L")),"",IF(I713="W",IF(G713&gt;0,G713/100,1),IF(G713&lt;0,G713/100,-1)))</f>
        <v/>
      </c>
      <c r="I713" s="11" t="inlineStr">
        <is>
          <t>W</t>
        </is>
      </c>
      <c r="J713" s="10" t="inlineStr">
        <is>
          <t>ANA 3, LAK 2</t>
        </is>
      </c>
      <c r="K713" s="10" t="inlineStr">
        <is>
          <t>DraftKings closing</t>
        </is>
      </c>
    </row>
    <row r="714">
      <c r="A714" s="9" t="n">
        <v>46039</v>
      </c>
      <c r="B714" s="10" t="inlineStr">
        <is>
          <t>MIN @ BUF</t>
        </is>
      </c>
      <c r="C714" s="13" t="n">
        <v>55.55</v>
      </c>
      <c r="D714" s="13" t="n">
        <v>74.06</v>
      </c>
      <c r="E714" s="13">
        <f>IF(OR(C714="",D714=""),"",ABS(C714-D714))</f>
        <v/>
      </c>
      <c r="F714" s="11" t="inlineStr">
        <is>
          <t>BUF</t>
        </is>
      </c>
      <c r="G714" s="12" t="n">
        <v>-125</v>
      </c>
      <c r="H714" s="14">
        <f>IF(OR(F714="",G714="",AND(I714&lt;&gt;"W",I714&lt;&gt;"L")),"",IF(I714="W",IF(G714&gt;0,G714/100,1),IF(G714&lt;0,G714/100,-1)))</f>
        <v/>
      </c>
      <c r="I714" s="11" t="inlineStr">
        <is>
          <t>L</t>
        </is>
      </c>
      <c r="J714" s="10" t="inlineStr">
        <is>
          <t>MIN 5, BUF 4</t>
        </is>
      </c>
      <c r="K714" s="10" t="inlineStr">
        <is>
          <t>DraftKings closing</t>
        </is>
      </c>
    </row>
    <row r="715">
      <c r="A715" s="9" t="n">
        <v>46039</v>
      </c>
      <c r="B715" s="10" t="inlineStr">
        <is>
          <t>NYR @ PHI</t>
        </is>
      </c>
      <c r="C715" s="13" t="n">
        <v>52.24</v>
      </c>
      <c r="D715" s="13" t="n">
        <v>62.5</v>
      </c>
      <c r="E715" s="13">
        <f>IF(OR(C715="",D715=""),"",ABS(C715-D715))</f>
        <v/>
      </c>
      <c r="F715" s="11" t="inlineStr">
        <is>
          <t>PHI</t>
        </is>
      </c>
      <c r="G715" s="12" t="n">
        <v>-125</v>
      </c>
      <c r="H715" s="14">
        <f>IF(OR(F715="",G715="",AND(I715&lt;&gt;"W",I715&lt;&gt;"L")),"",IF(I715="W",IF(G715&gt;0,G715/100,1),IF(G715&lt;0,G715/100,-1)))</f>
        <v/>
      </c>
      <c r="I715" s="11" t="inlineStr">
        <is>
          <t>L</t>
        </is>
      </c>
      <c r="J715" s="10" t="inlineStr">
        <is>
          <t>NYR 6, PHI 3</t>
        </is>
      </c>
      <c r="K715" s="10" t="inlineStr">
        <is>
          <t>DraftKings closing</t>
        </is>
      </c>
    </row>
    <row r="716">
      <c r="A716" s="9" t="n">
        <v>46039</v>
      </c>
      <c r="B716" s="10" t="inlineStr">
        <is>
          <t>NYI @ CGY</t>
        </is>
      </c>
      <c r="C716" s="13" t="n">
        <v>58.8</v>
      </c>
      <c r="D716" s="13" t="n">
        <v>76.20999999999999</v>
      </c>
      <c r="E716" s="13">
        <f>IF(OR(C716="",D716=""),"",ABS(C716-D716))</f>
        <v/>
      </c>
      <c r="F716" s="11" t="inlineStr">
        <is>
          <t>CGY</t>
        </is>
      </c>
      <c r="G716" s="12" t="n">
        <v>-125</v>
      </c>
      <c r="H716" s="14">
        <f>IF(OR(F716="",G716="",AND(I716&lt;&gt;"W",I716&lt;&gt;"L")),"",IF(I716="W",IF(G716&gt;0,G716/100,1),IF(G716&lt;0,G716/100,-1)))</f>
        <v/>
      </c>
      <c r="I716" s="11" t="inlineStr">
        <is>
          <t>W</t>
        </is>
      </c>
      <c r="J716" s="10" t="inlineStr">
        <is>
          <t>NYI 2, CGY 4</t>
        </is>
      </c>
      <c r="K716" s="10" t="inlineStr">
        <is>
          <t>DraftKings closing</t>
        </is>
      </c>
    </row>
    <row r="717">
      <c r="A717" s="9" t="n">
        <v>46039</v>
      </c>
      <c r="B717" s="10" t="inlineStr">
        <is>
          <t>SEA @ UTA</t>
        </is>
      </c>
      <c r="C717" s="13" t="n">
        <v>69.37</v>
      </c>
      <c r="D717" s="13" t="n">
        <v>79.59</v>
      </c>
      <c r="E717" s="13">
        <f>IF(OR(C717="",D717=""),"",ABS(C717-D717))</f>
        <v/>
      </c>
      <c r="F717" s="11" t="inlineStr">
        <is>
          <t>UTA</t>
        </is>
      </c>
      <c r="G717" s="12" t="n">
        <v>-198</v>
      </c>
      <c r="H717" s="14">
        <f>IF(OR(F717="",G717="",AND(I717&lt;&gt;"W",I717&lt;&gt;"L")),"",IF(I717="W",IF(G717&gt;0,G717/100,1),IF(G717&lt;0,G717/100,-1)))</f>
        <v/>
      </c>
      <c r="I717" s="11" t="inlineStr">
        <is>
          <t>W</t>
        </is>
      </c>
      <c r="J717" s="10" t="inlineStr">
        <is>
          <t>SEA 3, UTA 6</t>
        </is>
      </c>
      <c r="K717" s="10" t="inlineStr">
        <is>
          <t>DraftKings closing</t>
        </is>
      </c>
    </row>
    <row r="718">
      <c r="A718" s="9" t="n">
        <v>46039</v>
      </c>
      <c r="B718" s="10" t="inlineStr">
        <is>
          <t>MTL @ OTT</t>
        </is>
      </c>
      <c r="C718" s="13" t="n">
        <v>65.94</v>
      </c>
      <c r="D718" s="13" t="n">
        <v>87.76000000000001</v>
      </c>
      <c r="E718" s="13">
        <f>IF(OR(C718="",D718=""),"",ABS(C718-D718))</f>
        <v/>
      </c>
      <c r="F718" s="11" t="inlineStr">
        <is>
          <t>OTT</t>
        </is>
      </c>
      <c r="G718" s="12" t="n">
        <v>-120</v>
      </c>
      <c r="H718" s="14">
        <f>IF(OR(F718="",G718="",AND(I718&lt;&gt;"W",I718&lt;&gt;"L")),"",IF(I718="W",IF(G718&gt;0,G718/100,1),IF(G718&lt;0,G718/100,-1)))</f>
        <v/>
      </c>
      <c r="I718" s="11" t="inlineStr">
        <is>
          <t>L</t>
        </is>
      </c>
      <c r="J718" s="10" t="inlineStr">
        <is>
          <t>MTL 6, OTT 5</t>
        </is>
      </c>
      <c r="K718" s="10" t="inlineStr">
        <is>
          <t>DraftKings closing</t>
        </is>
      </c>
    </row>
    <row r="719">
      <c r="A719" s="9" t="n">
        <v>46039</v>
      </c>
      <c r="B719" s="10" t="inlineStr">
        <is>
          <t>CAR @ NJD</t>
        </is>
      </c>
      <c r="C719" s="13" t="n">
        <v>100</v>
      </c>
      <c r="D719" s="13" t="n">
        <v>77.97</v>
      </c>
      <c r="E719" s="13">
        <f>IF(OR(C719="",D719=""),"",ABS(C719-D719))</f>
        <v/>
      </c>
      <c r="F719" s="11" t="inlineStr">
        <is>
          <t>CAR</t>
        </is>
      </c>
      <c r="G719" s="12" t="n">
        <v>-115</v>
      </c>
      <c r="H719" s="14">
        <f>IF(OR(F719="",G719="",AND(I719&lt;&gt;"W",I719&lt;&gt;"L")),"",IF(I719="W",IF(G719&gt;0,G719/100,1),IF(G719&lt;0,G719/100,-1)))</f>
        <v/>
      </c>
      <c r="I719" s="11" t="inlineStr">
        <is>
          <t>W</t>
        </is>
      </c>
      <c r="J719" s="10" t="inlineStr">
        <is>
          <t>CAR 4, NJD 1</t>
        </is>
      </c>
      <c r="K719" s="10" t="inlineStr">
        <is>
          <t>DraftKings closing</t>
        </is>
      </c>
    </row>
    <row r="720">
      <c r="A720" s="9" t="n">
        <v>46039</v>
      </c>
      <c r="B720" s="10" t="inlineStr">
        <is>
          <t>CBJ @ PIT</t>
        </is>
      </c>
      <c r="C720" s="13" t="n">
        <v>88.45999999999999</v>
      </c>
      <c r="D720" s="13" t="n">
        <v>77.5</v>
      </c>
      <c r="E720" s="13">
        <f>IF(OR(C720="",D720=""),"",ABS(C720-D720))</f>
        <v/>
      </c>
      <c r="F720" s="11" t="inlineStr">
        <is>
          <t>CBJ</t>
        </is>
      </c>
      <c r="G720" s="12" t="n">
        <v>-102</v>
      </c>
      <c r="H720" s="14">
        <f>IF(OR(F720="",G720="",AND(I720&lt;&gt;"W",I720&lt;&gt;"L")),"",IF(I720="W",IF(G720&gt;0,G720/100,1),IF(G720&lt;0,G720/100,-1)))</f>
        <v/>
      </c>
      <c r="I720" s="11" t="inlineStr">
        <is>
          <t>W</t>
        </is>
      </c>
      <c r="J720" s="10" t="inlineStr">
        <is>
          <t>CBJ 4, PIT 3</t>
        </is>
      </c>
      <c r="K720" s="10" t="inlineStr">
        <is>
          <t>DraftKings closing</t>
        </is>
      </c>
    </row>
    <row r="721">
      <c r="A721" s="9" t="n">
        <v>46039</v>
      </c>
      <c r="B721" s="10" t="inlineStr">
        <is>
          <t>FLA @ WSH</t>
        </is>
      </c>
      <c r="C721" s="13" t="n">
        <v>31.39</v>
      </c>
      <c r="D721" s="13" t="n">
        <v>62.38</v>
      </c>
      <c r="E721" s="13">
        <f>IF(OR(C721="",D721=""),"",ABS(C721-D721))</f>
        <v/>
      </c>
      <c r="F721" s="11" t="inlineStr">
        <is>
          <t>WSH</t>
        </is>
      </c>
      <c r="G721" s="12" t="n">
        <v>-162</v>
      </c>
      <c r="H721" s="14">
        <f>IF(OR(F721="",G721="",AND(I721&lt;&gt;"W",I721&lt;&gt;"L")),"",IF(I721="W",IF(G721&gt;0,G721/100,1),IF(G721&lt;0,G721/100,-1)))</f>
        <v/>
      </c>
      <c r="I721" s="11" t="inlineStr">
        <is>
          <t>L</t>
        </is>
      </c>
      <c r="J721" s="10" t="inlineStr">
        <is>
          <t>FLA 5, WSH 2</t>
        </is>
      </c>
      <c r="K721" s="10" t="inlineStr">
        <is>
          <t>DraftKings closing</t>
        </is>
      </c>
    </row>
    <row r="722">
      <c r="A722" s="9" t="n">
        <v>46039</v>
      </c>
      <c r="B722" s="10" t="inlineStr">
        <is>
          <t>TOR @ WPG</t>
        </is>
      </c>
      <c r="C722" s="13" t="n">
        <v>69.38</v>
      </c>
      <c r="D722" s="13" t="n">
        <v>84.45</v>
      </c>
      <c r="E722" s="13">
        <f>IF(OR(C722="",D722=""),"",ABS(C722-D722))</f>
        <v/>
      </c>
      <c r="F722" s="11" t="inlineStr">
        <is>
          <t>WPG</t>
        </is>
      </c>
      <c r="G722" s="12" t="n">
        <v>-148</v>
      </c>
      <c r="H722" s="14">
        <f>IF(OR(F722="",G722="",AND(I722&lt;&gt;"W",I722&lt;&gt;"L")),"",IF(I722="W",IF(G722&gt;0,G722/100,1),IF(G722&lt;0,G722/100,-1)))</f>
        <v/>
      </c>
      <c r="I722" s="11" t="inlineStr">
        <is>
          <t>L</t>
        </is>
      </c>
      <c r="J722" s="10" t="inlineStr">
        <is>
          <t>TOR 4, WPG 3</t>
        </is>
      </c>
      <c r="K722" s="10" t="inlineStr">
        <is>
          <t>DraftKings closing</t>
        </is>
      </c>
    </row>
    <row r="723">
      <c r="A723" s="9" t="n">
        <v>46039</v>
      </c>
      <c r="B723" s="10" t="inlineStr">
        <is>
          <t>BOS @ CHI</t>
        </is>
      </c>
      <c r="C723" s="13" t="n">
        <v>70.63</v>
      </c>
      <c r="D723" s="13" t="n">
        <v>63.79</v>
      </c>
      <c r="E723" s="13">
        <f>IF(OR(C723="",D723=""),"",ABS(C723-D723))</f>
        <v/>
      </c>
      <c r="F723" s="11" t="inlineStr">
        <is>
          <t>BOS</t>
        </is>
      </c>
      <c r="G723" s="12" t="n">
        <v>-125</v>
      </c>
      <c r="H723" s="14">
        <f>IF(OR(F723="",G723="",AND(I723&lt;&gt;"W",I723&lt;&gt;"L")),"",IF(I723="W",IF(G723&gt;0,G723/100,1),IF(G723&lt;0,G723/100,-1)))</f>
        <v/>
      </c>
      <c r="I723" s="11" t="inlineStr">
        <is>
          <t>W</t>
        </is>
      </c>
      <c r="J723" s="10" t="inlineStr">
        <is>
          <t>BOS 5, CHI 2</t>
        </is>
      </c>
      <c r="K723" s="10" t="inlineStr">
        <is>
          <t>DraftKings closing</t>
        </is>
      </c>
    </row>
    <row r="724">
      <c r="A724" s="9" t="n">
        <v>46039</v>
      </c>
      <c r="B724" s="10" t="inlineStr">
        <is>
          <t>EDM @ VAN</t>
        </is>
      </c>
      <c r="C724" s="13" t="n">
        <v>81.2</v>
      </c>
      <c r="D724" s="13" t="n">
        <v>51.54</v>
      </c>
      <c r="E724" s="13">
        <f>IF(OR(C724="",D724=""),"",ABS(C724-D724))</f>
        <v/>
      </c>
      <c r="F724" s="11" t="inlineStr">
        <is>
          <t>EDM</t>
        </is>
      </c>
      <c r="G724" s="12" t="n">
        <v>-185</v>
      </c>
      <c r="H724" s="14">
        <f>IF(OR(F724="",G724="",AND(I724&lt;&gt;"W",I724&lt;&gt;"L")),"",IF(I724="W",IF(G724&gt;0,G724/100,1),IF(G724&lt;0,G724/100,-1)))</f>
        <v/>
      </c>
      <c r="I724" s="11" t="inlineStr">
        <is>
          <t>W</t>
        </is>
      </c>
      <c r="J724" s="10" t="inlineStr">
        <is>
          <t>EDM 6, VAN 0</t>
        </is>
      </c>
      <c r="K724" s="10" t="inlineStr">
        <is>
          <t>DraftKings closing</t>
        </is>
      </c>
    </row>
    <row r="725">
      <c r="A725" s="9" t="n">
        <v>46039</v>
      </c>
      <c r="B725" s="10" t="inlineStr">
        <is>
          <t>NSH @ VGK</t>
        </is>
      </c>
      <c r="C725" s="13" t="n">
        <v>72.16</v>
      </c>
      <c r="D725" s="13" t="n">
        <v>70.62</v>
      </c>
      <c r="E725" s="13">
        <f>IF(OR(C725="",D725=""),"",ABS(C725-D725))</f>
        <v/>
      </c>
      <c r="F725" s="11" t="inlineStr">
        <is>
          <t>NSH</t>
        </is>
      </c>
      <c r="G725" s="12" t="n">
        <v>180</v>
      </c>
      <c r="H725" s="14">
        <f>IF(OR(F725="",G725="",AND(I725&lt;&gt;"W",I725&lt;&gt;"L")),"",IF(I725="W",IF(G725&gt;0,G725/100,1),IF(G725&lt;0,G725/100,-1)))</f>
        <v/>
      </c>
      <c r="I725" s="11" t="inlineStr">
        <is>
          <t>L</t>
        </is>
      </c>
      <c r="J725" s="10" t="inlineStr">
        <is>
          <t>NSH 2, VGK 7</t>
        </is>
      </c>
      <c r="K725" s="10" t="inlineStr">
        <is>
          <t>DraftKings closing</t>
        </is>
      </c>
    </row>
    <row r="726">
      <c r="A726" s="9" t="n">
        <v>46039</v>
      </c>
      <c r="B726" s="10" t="inlineStr">
        <is>
          <t>LAK @ ANA</t>
        </is>
      </c>
      <c r="C726" s="13" t="n">
        <v>73.98</v>
      </c>
      <c r="D726" s="13" t="n">
        <v>66.02</v>
      </c>
      <c r="E726" s="13">
        <f>IF(OR(C726="",D726=""),"",ABS(C726-D726))</f>
        <v/>
      </c>
      <c r="F726" s="11" t="inlineStr">
        <is>
          <t>LAK</t>
        </is>
      </c>
      <c r="G726" s="12" t="n">
        <v>-115</v>
      </c>
      <c r="H726" s="14">
        <f>IF(OR(F726="",G726="",AND(I726&lt;&gt;"W",I726&lt;&gt;"L")),"",IF(I726="W",IF(G726&gt;0,G726/100,1),IF(G726&lt;0,G726/100,-1)))</f>
        <v/>
      </c>
      <c r="I726" s="11" t="inlineStr">
        <is>
          <t>L</t>
        </is>
      </c>
      <c r="J726" s="10" t="inlineStr">
        <is>
          <t>LAK 1, ANA 2</t>
        </is>
      </c>
      <c r="K726" s="10" t="inlineStr">
        <is>
          <t>DraftKings closing</t>
        </is>
      </c>
    </row>
    <row r="727">
      <c r="A727" s="9" t="n">
        <v>46040</v>
      </c>
      <c r="B727" s="10" t="inlineStr">
        <is>
          <t>TBL @ DAL</t>
        </is>
      </c>
      <c r="C727" s="13" t="n">
        <v>83.34</v>
      </c>
      <c r="D727" s="13" t="n">
        <v>60.41</v>
      </c>
      <c r="E727" s="13">
        <f>IF(OR(C727="",D727=""),"",ABS(C727-D727))</f>
        <v/>
      </c>
      <c r="F727" s="11" t="inlineStr">
        <is>
          <t>TBL</t>
        </is>
      </c>
      <c r="G727" s="12" t="n">
        <v>-118</v>
      </c>
      <c r="H727" s="14">
        <f>IF(OR(F727="",G727="",AND(I727&lt;&gt;"W",I727&lt;&gt;"L")),"",IF(I727="W",IF(G727&gt;0,G727/100,1),IF(G727&lt;0,G727/100,-1)))</f>
        <v/>
      </c>
      <c r="I727" s="11" t="inlineStr">
        <is>
          <t>W</t>
        </is>
      </c>
      <c r="J727" s="10" t="inlineStr">
        <is>
          <t>TBL 4, DAL 1</t>
        </is>
      </c>
      <c r="K727" s="10" t="inlineStr">
        <is>
          <t>DraftKings closing</t>
        </is>
      </c>
    </row>
    <row r="728">
      <c r="A728" s="9" t="n">
        <v>46040</v>
      </c>
      <c r="B728" s="10" t="inlineStr">
        <is>
          <t>OTT @ DET</t>
        </is>
      </c>
      <c r="C728" s="13" t="n">
        <v>78.98</v>
      </c>
      <c r="D728" s="13" t="n">
        <v>78.36</v>
      </c>
      <c r="E728" s="13">
        <f>IF(OR(C728="",D728=""),"",ABS(C728-D728))</f>
        <v/>
      </c>
      <c r="F728" s="11" t="inlineStr">
        <is>
          <t>OTT</t>
        </is>
      </c>
      <c r="G728" s="12" t="n">
        <v>105</v>
      </c>
      <c r="H728" s="14">
        <f>IF(OR(F728="",G728="",AND(I728&lt;&gt;"W",I728&lt;&gt;"L")),"",IF(I728="W",IF(G728&gt;0,G728/100,1),IF(G728&lt;0,G728/100,-1)))</f>
        <v/>
      </c>
      <c r="I728" s="11" t="inlineStr">
        <is>
          <t>L</t>
        </is>
      </c>
      <c r="J728" s="10" t="inlineStr">
        <is>
          <t>OTT 3, DET 4</t>
        </is>
      </c>
      <c r="K728" s="10" t="inlineStr">
        <is>
          <t>DraftKings closing</t>
        </is>
      </c>
    </row>
    <row r="729">
      <c r="A729" s="9" t="n">
        <v>46040</v>
      </c>
      <c r="B729" s="10" t="inlineStr">
        <is>
          <t>STL @ EDM</t>
        </is>
      </c>
      <c r="C729" s="13" t="n">
        <v>56.66</v>
      </c>
      <c r="D729" s="13" t="n">
        <v>96.45</v>
      </c>
      <c r="E729" s="13">
        <f>IF(OR(C729="",D729=""),"",ABS(C729-D729))</f>
        <v/>
      </c>
      <c r="F729" s="11" t="inlineStr">
        <is>
          <t>EDM</t>
        </is>
      </c>
      <c r="G729" s="12" t="n">
        <v>-162</v>
      </c>
      <c r="H729" s="14">
        <f>IF(OR(F729="",G729="",AND(I729&lt;&gt;"W",I729&lt;&gt;"L")),"",IF(I729="W",IF(G729&gt;0,G729/100,1),IF(G729&lt;0,G729/100,-1)))</f>
        <v/>
      </c>
      <c r="I729" s="11" t="inlineStr">
        <is>
          <t>W</t>
        </is>
      </c>
      <c r="J729" s="10" t="inlineStr">
        <is>
          <t>STL 0, EDM 5</t>
        </is>
      </c>
      <c r="K729" s="10" t="inlineStr">
        <is>
          <t>DraftKings closing</t>
        </is>
      </c>
    </row>
    <row r="730">
      <c r="A730" s="9" t="n">
        <v>46041</v>
      </c>
      <c r="B730" s="10" t="inlineStr">
        <is>
          <t>BUF @ CAR</t>
        </is>
      </c>
      <c r="C730" s="13" t="n">
        <v>56.97</v>
      </c>
      <c r="D730" s="13" t="n">
        <v>87.98999999999999</v>
      </c>
      <c r="E730" s="13">
        <f>IF(OR(C730="",D730=""),"",ABS(C730-D730))</f>
        <v/>
      </c>
      <c r="F730" s="11" t="inlineStr">
        <is>
          <t>CAR</t>
        </is>
      </c>
      <c r="G730" s="12" t="n">
        <v>-185</v>
      </c>
      <c r="H730" s="14">
        <f>IF(OR(F730="",G730="",AND(I730&lt;&gt;"W",I730&lt;&gt;"L")),"",IF(I730="W",IF(G730&gt;0,G730/100,1),IF(G730&lt;0,G730/100,-1)))</f>
        <v/>
      </c>
      <c r="I730" s="11" t="inlineStr">
        <is>
          <t>W</t>
        </is>
      </c>
      <c r="J730" s="10" t="inlineStr">
        <is>
          <t>BUF 1, CAR 2</t>
        </is>
      </c>
      <c r="K730" s="10" t="inlineStr">
        <is>
          <t>DraftKings closing</t>
        </is>
      </c>
    </row>
    <row r="731">
      <c r="A731" s="9" t="n">
        <v>46041</v>
      </c>
      <c r="B731" s="10" t="inlineStr">
        <is>
          <t>WSH @ COL</t>
        </is>
      </c>
      <c r="C731" s="13" t="n">
        <v>60.1</v>
      </c>
      <c r="D731" s="13" t="n">
        <v>67.84</v>
      </c>
      <c r="E731" s="13">
        <f>IF(OR(C731="",D731=""),"",ABS(C731-D731))</f>
        <v/>
      </c>
      <c r="F731" s="11" t="inlineStr">
        <is>
          <t>COL</t>
        </is>
      </c>
      <c r="G731" s="12" t="n">
        <v>-218</v>
      </c>
      <c r="H731" s="14">
        <f>IF(OR(F731="",G731="",AND(I731&lt;&gt;"W",I731&lt;&gt;"L")),"",IF(I731="W",IF(G731&gt;0,G731/100,1),IF(G731&lt;0,G731/100,-1)))</f>
        <v/>
      </c>
      <c r="I731" s="11" t="inlineStr">
        <is>
          <t>W</t>
        </is>
      </c>
      <c r="J731" s="10" t="inlineStr">
        <is>
          <t>WSH 2, COL 5</t>
        </is>
      </c>
      <c r="K731" s="10" t="inlineStr">
        <is>
          <t>DraftKings closing</t>
        </is>
      </c>
    </row>
    <row r="732">
      <c r="A732" s="9" t="n">
        <v>46041</v>
      </c>
      <c r="B732" s="10" t="inlineStr">
        <is>
          <t>PIT @ SEA</t>
        </is>
      </c>
      <c r="C732" s="13" t="n">
        <v>75.78</v>
      </c>
      <c r="D732" s="13" t="n">
        <v>60.24</v>
      </c>
      <c r="E732" s="13">
        <f>IF(OR(C732="",D732=""),"",ABS(C732-D732))</f>
        <v/>
      </c>
      <c r="F732" s="11" t="inlineStr">
        <is>
          <t>PIT</t>
        </is>
      </c>
      <c r="G732" s="12" t="n">
        <v>-130</v>
      </c>
      <c r="H732" s="14">
        <f>IF(OR(F732="",G732="",AND(I732&lt;&gt;"W",I732&lt;&gt;"L")),"",IF(I732="W",IF(G732&gt;0,G732/100,1),IF(G732&lt;0,G732/100,-1)))</f>
        <v/>
      </c>
      <c r="I732" s="11" t="inlineStr">
        <is>
          <t>W</t>
        </is>
      </c>
      <c r="J732" s="10" t="inlineStr">
        <is>
          <t>PIT 6, SEA 3</t>
        </is>
      </c>
      <c r="K732" s="10" t="inlineStr">
        <is>
          <t>DraftKings closing</t>
        </is>
      </c>
    </row>
    <row r="733">
      <c r="A733" s="9" t="n">
        <v>46041</v>
      </c>
      <c r="B733" s="10" t="inlineStr">
        <is>
          <t>SJS @ FLA</t>
        </is>
      </c>
      <c r="C733" s="13" t="n">
        <v>61.64</v>
      </c>
      <c r="D733" s="13" t="n">
        <v>79.90000000000001</v>
      </c>
      <c r="E733" s="13">
        <f>IF(OR(C733="",D733=""),"",ABS(C733-D733))</f>
        <v/>
      </c>
      <c r="F733" s="11" t="inlineStr">
        <is>
          <t>FLA</t>
        </is>
      </c>
      <c r="G733" s="12" t="n">
        <v>-185</v>
      </c>
      <c r="H733" s="14">
        <f>IF(OR(F733="",G733="",AND(I733&lt;&gt;"W",I733&lt;&gt;"L")),"",IF(I733="W",IF(G733&gt;0,G733/100,1),IF(G733&lt;0,G733/100,-1)))</f>
        <v/>
      </c>
      <c r="I733" s="11" t="inlineStr">
        <is>
          <t>L</t>
        </is>
      </c>
      <c r="J733" s="10" t="inlineStr">
        <is>
          <t>SJS 4, FLA 1</t>
        </is>
      </c>
      <c r="K733" s="10" t="inlineStr">
        <is>
          <t>DraftKings closing</t>
        </is>
      </c>
    </row>
    <row r="734">
      <c r="A734" s="9" t="n">
        <v>46041</v>
      </c>
      <c r="B734" s="10" t="inlineStr">
        <is>
          <t>MIN @ TOR</t>
        </is>
      </c>
      <c r="C734" s="13" t="n">
        <v>83.03</v>
      </c>
      <c r="D734" s="13" t="n">
        <v>69.33</v>
      </c>
      <c r="E734" s="13">
        <f>IF(OR(C734="",D734=""),"",ABS(C734-D734))</f>
        <v/>
      </c>
      <c r="F734" s="11" t="inlineStr">
        <is>
          <t>MIN</t>
        </is>
      </c>
      <c r="G734" s="12" t="n">
        <v>-110</v>
      </c>
      <c r="H734" s="14">
        <f>IF(OR(F734="",G734="",AND(I734&lt;&gt;"W",I734&lt;&gt;"L")),"",IF(I734="W",IF(G734&gt;0,G734/100,1),IF(G734&lt;0,G734/100,-1)))</f>
        <v/>
      </c>
      <c r="I734" s="11" t="inlineStr">
        <is>
          <t>W</t>
        </is>
      </c>
      <c r="J734" s="10" t="inlineStr">
        <is>
          <t>MIN 6, TOR 3</t>
        </is>
      </c>
      <c r="K734" s="10" t="inlineStr">
        <is>
          <t>DraftKings closing</t>
        </is>
      </c>
    </row>
    <row r="735">
      <c r="A735" s="9" t="n">
        <v>46041</v>
      </c>
      <c r="B735" s="10" t="inlineStr">
        <is>
          <t>PHI @ VGK</t>
        </is>
      </c>
      <c r="C735" s="13" t="n">
        <v>59.37</v>
      </c>
      <c r="D735" s="13" t="n">
        <v>88.81</v>
      </c>
      <c r="E735" s="13">
        <f>IF(OR(C735="",D735=""),"",ABS(C735-D735))</f>
        <v/>
      </c>
      <c r="F735" s="11" t="inlineStr">
        <is>
          <t>VGK</t>
        </is>
      </c>
      <c r="G735" s="12" t="n">
        <v>-230</v>
      </c>
      <c r="H735" s="14">
        <f>IF(OR(F735="",G735="",AND(I735&lt;&gt;"W",I735&lt;&gt;"L")),"",IF(I735="W",IF(G735&gt;0,G735/100,1),IF(G735&lt;0,G735/100,-1)))</f>
        <v/>
      </c>
      <c r="I735" s="11" t="inlineStr">
        <is>
          <t>L</t>
        </is>
      </c>
      <c r="J735" s="10" t="inlineStr">
        <is>
          <t>PHI 2, VGK 1</t>
        </is>
      </c>
      <c r="K735" s="10" t="inlineStr">
        <is>
          <t>DraftKings closing</t>
        </is>
      </c>
    </row>
    <row r="736">
      <c r="A736" s="9" t="n">
        <v>46041</v>
      </c>
      <c r="B736" s="10" t="inlineStr">
        <is>
          <t>WPG @ CHI</t>
        </is>
      </c>
      <c r="C736" s="13" t="n">
        <v>70.67</v>
      </c>
      <c r="D736" s="13" t="n">
        <v>58.91</v>
      </c>
      <c r="E736" s="13">
        <f>IF(OR(C736="",D736=""),"",ABS(C736-D736))</f>
        <v/>
      </c>
      <c r="F736" s="11" t="inlineStr">
        <is>
          <t>WPG</t>
        </is>
      </c>
      <c r="G736" s="12" t="n">
        <v>-148</v>
      </c>
      <c r="H736" s="14">
        <f>IF(OR(F736="",G736="",AND(I736&lt;&gt;"W",I736&lt;&gt;"L")),"",IF(I736="W",IF(G736&gt;0,G736/100,1),IF(G736&lt;0,G736/100,-1)))</f>
        <v/>
      </c>
      <c r="I736" s="11" t="inlineStr">
        <is>
          <t>L</t>
        </is>
      </c>
      <c r="J736" s="10" t="inlineStr">
        <is>
          <t>WPG 0, CHI 2</t>
        </is>
      </c>
      <c r="K736" s="10" t="inlineStr">
        <is>
          <t>DraftKings closing</t>
        </is>
      </c>
    </row>
    <row r="737">
      <c r="A737" s="9" t="n">
        <v>46041</v>
      </c>
      <c r="B737" s="10" t="inlineStr">
        <is>
          <t>NJD @ CGY</t>
        </is>
      </c>
      <c r="C737" s="13" t="n">
        <v>52.01</v>
      </c>
      <c r="D737" s="13" t="n">
        <v>70.01000000000001</v>
      </c>
      <c r="E737" s="13">
        <f>IF(OR(C737="",D737=""),"",ABS(C737-D737))</f>
        <v/>
      </c>
      <c r="F737" s="11" t="inlineStr">
        <is>
          <t>CGY</t>
        </is>
      </c>
      <c r="G737" s="12" t="n">
        <v>105</v>
      </c>
      <c r="H737" s="14">
        <f>IF(OR(F737="",G737="",AND(I737&lt;&gt;"W",I737&lt;&gt;"L")),"",IF(I737="W",IF(G737&gt;0,G737/100,1),IF(G737&lt;0,G737/100,-1)))</f>
        <v/>
      </c>
      <c r="I737" s="11" t="inlineStr">
        <is>
          <t>L</t>
        </is>
      </c>
      <c r="J737" s="10" t="inlineStr">
        <is>
          <t>NJD 2, CGY 1</t>
        </is>
      </c>
      <c r="K737" s="10" t="inlineStr">
        <is>
          <t>DraftKings closing</t>
        </is>
      </c>
    </row>
    <row r="738">
      <c r="A738" s="9" t="n">
        <v>46041</v>
      </c>
      <c r="B738" s="10" t="inlineStr">
        <is>
          <t>NYI @ VAN</t>
        </is>
      </c>
      <c r="C738" s="13" t="n">
        <v>69.98999999999999</v>
      </c>
      <c r="D738" s="13" t="n">
        <v>43.55</v>
      </c>
      <c r="E738" s="13">
        <f>IF(OR(C738="",D738=""),"",ABS(C738-D738))</f>
        <v/>
      </c>
      <c r="F738" s="11" t="inlineStr">
        <is>
          <t>NYI</t>
        </is>
      </c>
      <c r="G738" s="12" t="n">
        <v>-155</v>
      </c>
      <c r="H738" s="14">
        <f>IF(OR(F738="",G738="",AND(I738&lt;&gt;"W",I738&lt;&gt;"L")),"",IF(I738="W",IF(G738&gt;0,G738/100,1),IF(G738&lt;0,G738/100,-1)))</f>
        <v/>
      </c>
      <c r="I738" s="11" t="inlineStr">
        <is>
          <t>W</t>
        </is>
      </c>
      <c r="J738" s="10" t="inlineStr">
        <is>
          <t>NYI 4, VAN 3</t>
        </is>
      </c>
      <c r="K738" s="10" t="inlineStr">
        <is>
          <t>DraftKings closing</t>
        </is>
      </c>
    </row>
    <row r="739">
      <c r="A739" s="9" t="n">
        <v>46041</v>
      </c>
      <c r="B739" s="10" t="inlineStr">
        <is>
          <t>NYR @ ANA</t>
        </is>
      </c>
      <c r="C739" s="13" t="n">
        <v>80.63</v>
      </c>
      <c r="D739" s="13" t="n">
        <v>78.09</v>
      </c>
      <c r="E739" s="13">
        <f>IF(OR(C739="",D739=""),"",ABS(C739-D739))</f>
        <v/>
      </c>
      <c r="F739" s="11" t="inlineStr">
        <is>
          <t>NYR</t>
        </is>
      </c>
      <c r="G739" s="12" t="n">
        <v>124</v>
      </c>
      <c r="H739" s="14">
        <f>IF(OR(F739="",G739="",AND(I739&lt;&gt;"W",I739&lt;&gt;"L")),"",IF(I739="W",IF(G739&gt;0,G739/100,1),IF(G739&lt;0,G739/100,-1)))</f>
        <v/>
      </c>
      <c r="I739" s="11" t="inlineStr">
        <is>
          <t>L</t>
        </is>
      </c>
      <c r="J739" s="10" t="inlineStr">
        <is>
          <t>NYR 3, ANA 5</t>
        </is>
      </c>
      <c r="K739" s="10" t="inlineStr">
        <is>
          <t>DraftKings closing</t>
        </is>
      </c>
    </row>
    <row r="740">
      <c r="A740" s="9" t="n">
        <v>46042</v>
      </c>
      <c r="B740" s="10" t="inlineStr">
        <is>
          <t>MIN @ MTL</t>
        </is>
      </c>
      <c r="C740" s="13" t="n">
        <v>83.45999999999999</v>
      </c>
      <c r="D740" s="13" t="n">
        <v>61.02</v>
      </c>
      <c r="E740" s="13">
        <f>IF(OR(C740="",D740=""),"",ABS(C740-D740))</f>
        <v/>
      </c>
      <c r="F740" s="11" t="inlineStr">
        <is>
          <t>MIN</t>
        </is>
      </c>
      <c r="G740" s="12" t="n">
        <v>120</v>
      </c>
      <c r="H740" s="14">
        <f>IF(OR(F740="",G740="",AND(I740&lt;&gt;"W",I740&lt;&gt;"L")),"",IF(I740="W",IF(G740&gt;0,G740/100,1),IF(G740&lt;0,G740/100,-1)))</f>
        <v/>
      </c>
      <c r="I740" s="11" t="inlineStr">
        <is>
          <t>L</t>
        </is>
      </c>
      <c r="J740" s="10" t="inlineStr">
        <is>
          <t>MIN 3, MTL 4</t>
        </is>
      </c>
      <c r="K740" s="10" t="inlineStr">
        <is>
          <t>DraftKings closing</t>
        </is>
      </c>
    </row>
    <row r="741">
      <c r="A741" s="9" t="n">
        <v>46042</v>
      </c>
      <c r="B741" s="10" t="inlineStr">
        <is>
          <t>SJS @ TBL</t>
        </is>
      </c>
      <c r="C741" s="13" t="n">
        <v>74.22</v>
      </c>
      <c r="D741" s="13" t="n">
        <v>82.78</v>
      </c>
      <c r="E741" s="13">
        <f>IF(OR(C741="",D741=""),"",ABS(C741-D741))</f>
        <v/>
      </c>
      <c r="F741" s="11" t="inlineStr">
        <is>
          <t>TBL</t>
        </is>
      </c>
      <c r="G741" s="12" t="n">
        <v>-310</v>
      </c>
      <c r="H741" s="14">
        <f>IF(OR(F741="",G741="",AND(I741&lt;&gt;"W",I741&lt;&gt;"L")),"",IF(I741="W",IF(G741&gt;0,G741/100,1),IF(G741&lt;0,G741/100,-1)))</f>
        <v/>
      </c>
      <c r="I741" s="11" t="inlineStr">
        <is>
          <t>W</t>
        </is>
      </c>
      <c r="J741" s="10" t="inlineStr">
        <is>
          <t>SJS 1, TBL 4</t>
        </is>
      </c>
      <c r="K741" s="10" t="inlineStr">
        <is>
          <t>DraftKings closing</t>
        </is>
      </c>
    </row>
    <row r="742">
      <c r="A742" s="9" t="n">
        <v>46042</v>
      </c>
      <c r="B742" s="10" t="inlineStr">
        <is>
          <t>OTT @ CBJ</t>
        </is>
      </c>
      <c r="C742" s="13" t="n">
        <v>65.48</v>
      </c>
      <c r="D742" s="13" t="n">
        <v>64.22</v>
      </c>
      <c r="E742" s="13">
        <f>IF(OR(C742="",D742=""),"",ABS(C742-D742))</f>
        <v/>
      </c>
      <c r="F742" s="11" t="inlineStr">
        <is>
          <t>OTT</t>
        </is>
      </c>
      <c r="G742" s="12" t="n">
        <v>-115</v>
      </c>
      <c r="H742" s="14">
        <f>IF(OR(F742="",G742="",AND(I742&lt;&gt;"W",I742&lt;&gt;"L")),"",IF(I742="W",IF(G742&gt;0,G742/100,1),IF(G742&lt;0,G742/100,-1)))</f>
        <v/>
      </c>
      <c r="I742" s="11" t="inlineStr">
        <is>
          <t>W</t>
        </is>
      </c>
      <c r="J742" s="10" t="inlineStr">
        <is>
          <t>OTT 4, CBJ 1</t>
        </is>
      </c>
      <c r="K742" s="10" t="inlineStr">
        <is>
          <t>DraftKings closing</t>
        </is>
      </c>
    </row>
    <row r="743">
      <c r="A743" s="9" t="n">
        <v>46042</v>
      </c>
      <c r="B743" s="10" t="inlineStr">
        <is>
          <t>BOS @ DAL</t>
        </is>
      </c>
      <c r="C743" s="13" t="n">
        <v>81.09</v>
      </c>
      <c r="D743" s="13" t="n">
        <v>57.22</v>
      </c>
      <c r="E743" s="13">
        <f>IF(OR(C743="",D743=""),"",ABS(C743-D743))</f>
        <v/>
      </c>
      <c r="F743" s="11" t="inlineStr">
        <is>
          <t>BOS</t>
        </is>
      </c>
      <c r="G743" s="12" t="n">
        <v>114</v>
      </c>
      <c r="H743" s="14">
        <f>IF(OR(F743="",G743="",AND(I743&lt;&gt;"W",I743&lt;&gt;"L")),"",IF(I743="W",IF(G743&gt;0,G743/100,1),IF(G743&lt;0,G743/100,-1)))</f>
        <v/>
      </c>
      <c r="I743" s="11" t="inlineStr">
        <is>
          <t>L</t>
        </is>
      </c>
      <c r="J743" s="10" t="inlineStr">
        <is>
          <t>BOS 2, DAL 6</t>
        </is>
      </c>
      <c r="K743" s="10" t="inlineStr">
        <is>
          <t>DraftKings closing</t>
        </is>
      </c>
    </row>
    <row r="744">
      <c r="A744" s="9" t="n">
        <v>46042</v>
      </c>
      <c r="B744" s="10" t="inlineStr">
        <is>
          <t>BUF @ NSH</t>
        </is>
      </c>
      <c r="C744" s="13" t="n">
        <v>61.4</v>
      </c>
      <c r="D744" s="13" t="n">
        <v>51.19</v>
      </c>
      <c r="E744" s="13">
        <f>IF(OR(C744="",D744=""),"",ABS(C744-D744))</f>
        <v/>
      </c>
      <c r="F744" s="11" t="inlineStr">
        <is>
          <t>BUF</t>
        </is>
      </c>
      <c r="G744" s="12" t="n">
        <v>114</v>
      </c>
      <c r="H744" s="14">
        <f>IF(OR(F744="",G744="",AND(I744&lt;&gt;"W",I744&lt;&gt;"L")),"",IF(I744="W",IF(G744&gt;0,G744/100,1),IF(G744&lt;0,G744/100,-1)))</f>
        <v/>
      </c>
      <c r="I744" s="11" t="inlineStr">
        <is>
          <t>W</t>
        </is>
      </c>
      <c r="J744" s="10" t="inlineStr">
        <is>
          <t>BUF 5, NSH 3</t>
        </is>
      </c>
      <c r="K744" s="10" t="inlineStr">
        <is>
          <t>DraftKings closing</t>
        </is>
      </c>
    </row>
    <row r="745">
      <c r="A745" s="9" t="n">
        <v>46042</v>
      </c>
      <c r="B745" s="10" t="inlineStr">
        <is>
          <t>STL @ WPG</t>
        </is>
      </c>
      <c r="C745" s="13" t="n">
        <v>58.91</v>
      </c>
      <c r="D745" s="13" t="n">
        <v>73.48999999999999</v>
      </c>
      <c r="E745" s="13">
        <f>IF(OR(C745="",D745=""),"",ABS(C745-D745))</f>
        <v/>
      </c>
      <c r="F745" s="11" t="inlineStr">
        <is>
          <t>WPG</t>
        </is>
      </c>
      <c r="G745" s="12" t="n">
        <v>-125</v>
      </c>
      <c r="H745" s="14">
        <f>IF(OR(F745="",G745="",AND(I745&lt;&gt;"W",I745&lt;&gt;"L")),"",IF(I745="W",IF(G745&gt;0,G745/100,1),IF(G745&lt;0,G745/100,-1)))</f>
        <v/>
      </c>
      <c r="I745" s="11" t="inlineStr">
        <is>
          <t>W</t>
        </is>
      </c>
      <c r="J745" s="10" t="inlineStr">
        <is>
          <t>STL 1, WPG 3</t>
        </is>
      </c>
      <c r="K745" s="10" t="inlineStr">
        <is>
          <t>DraftKings closing</t>
        </is>
      </c>
    </row>
    <row r="746">
      <c r="A746" s="9" t="n">
        <v>46042</v>
      </c>
      <c r="B746" s="10" t="inlineStr">
        <is>
          <t>NJD @ EDM</t>
        </is>
      </c>
      <c r="C746" s="13" t="n">
        <v>76.73999999999999</v>
      </c>
      <c r="D746" s="13" t="n">
        <v>81.09</v>
      </c>
      <c r="E746" s="13">
        <f>IF(OR(C746="",D746=""),"",ABS(C746-D746))</f>
        <v/>
      </c>
      <c r="F746" s="11" t="inlineStr">
        <is>
          <t>EDM</t>
        </is>
      </c>
      <c r="G746" s="12" t="n">
        <v>-175</v>
      </c>
      <c r="H746" s="14">
        <f>IF(OR(F746="",G746="",AND(I746&lt;&gt;"W",I746&lt;&gt;"L")),"",IF(I746="W",IF(G746&gt;0,G746/100,1),IF(G746&lt;0,G746/100,-1)))</f>
        <v/>
      </c>
      <c r="I746" s="11" t="inlineStr">
        <is>
          <t>L</t>
        </is>
      </c>
      <c r="J746" s="10" t="inlineStr">
        <is>
          <t>NJD 2, EDM 1</t>
        </is>
      </c>
      <c r="K746" s="10" t="inlineStr">
        <is>
          <t>DraftKings closing</t>
        </is>
      </c>
    </row>
    <row r="747">
      <c r="A747" s="9" t="n">
        <v>46042</v>
      </c>
      <c r="B747" s="10" t="inlineStr">
        <is>
          <t>NYR @ LAK</t>
        </is>
      </c>
      <c r="C747" s="13" t="n">
        <v>65.19</v>
      </c>
      <c r="D747" s="13" t="n">
        <v>61.91</v>
      </c>
      <c r="E747" s="13">
        <f>IF(OR(C747="",D747=""),"",ABS(C747-D747))</f>
        <v/>
      </c>
      <c r="F747" s="11" t="inlineStr">
        <is>
          <t>NYR</t>
        </is>
      </c>
      <c r="G747" s="12" t="n">
        <v>154</v>
      </c>
      <c r="H747" s="14">
        <f>IF(OR(F747="",G747="",AND(I747&lt;&gt;"W",I747&lt;&gt;"L")),"",IF(I747="W",IF(G747&gt;0,G747/100,1),IF(G747&lt;0,G747/100,-1)))</f>
        <v/>
      </c>
      <c r="I747" s="11" t="inlineStr">
        <is>
          <t>L</t>
        </is>
      </c>
      <c r="J747" s="10" t="inlineStr">
        <is>
          <t>NYR 3, LAK 4</t>
        </is>
      </c>
      <c r="K747" s="10" t="inlineStr">
        <is>
          <t>DraftKings closing</t>
        </is>
      </c>
    </row>
    <row r="748">
      <c r="A748" s="9" t="n">
        <v>46043</v>
      </c>
      <c r="B748" s="10" t="inlineStr">
        <is>
          <t>DET @ TOR</t>
        </is>
      </c>
      <c r="C748" s="13" t="n">
        <v>74.52</v>
      </c>
      <c r="D748" s="13" t="n">
        <v>56.54</v>
      </c>
      <c r="E748" s="13">
        <f>IF(OR(C748="",D748=""),"",ABS(C748-D748))</f>
        <v/>
      </c>
      <c r="F748" s="11" t="inlineStr">
        <is>
          <t>DET</t>
        </is>
      </c>
      <c r="G748" s="12" t="n">
        <v>105</v>
      </c>
      <c r="H748" s="14">
        <f>IF(OR(F748="",G748="",AND(I748&lt;&gt;"W",I748&lt;&gt;"L")),"",IF(I748="W",IF(G748&gt;0,G748/100,1),IF(G748&lt;0,G748/100,-1)))</f>
        <v/>
      </c>
      <c r="I748" s="11" t="inlineStr">
        <is>
          <t>W</t>
        </is>
      </c>
      <c r="J748" s="10" t="inlineStr">
        <is>
          <t>DET 2, TOR 1</t>
        </is>
      </c>
      <c r="K748" s="10" t="inlineStr">
        <is>
          <t>DraftKings closing</t>
        </is>
      </c>
    </row>
    <row r="749">
      <c r="A749" s="9" t="n">
        <v>46043</v>
      </c>
      <c r="B749" s="10" t="inlineStr">
        <is>
          <t>ANA @ COL</t>
        </is>
      </c>
      <c r="C749" s="13" t="n">
        <v>74.81</v>
      </c>
      <c r="D749" s="13" t="n">
        <v>92.23</v>
      </c>
      <c r="E749" s="13">
        <f>IF(OR(C749="",D749=""),"",ABS(C749-D749))</f>
        <v/>
      </c>
      <c r="F749" s="11" t="inlineStr">
        <is>
          <t>COL</t>
        </is>
      </c>
      <c r="G749" s="12" t="n">
        <v>-355</v>
      </c>
      <c r="H749" s="14">
        <f>IF(OR(F749="",G749="",AND(I749&lt;&gt;"W",I749&lt;&gt;"L")),"",IF(I749="W",IF(G749&gt;0,G749/100,1),IF(G749&lt;0,G749/100,-1)))</f>
        <v/>
      </c>
      <c r="I749" s="11" t="inlineStr">
        <is>
          <t>L</t>
        </is>
      </c>
      <c r="J749" s="10" t="inlineStr">
        <is>
          <t>ANA 2, COL 1</t>
        </is>
      </c>
      <c r="K749" s="10" t="inlineStr">
        <is>
          <t>DraftKings closing</t>
        </is>
      </c>
    </row>
    <row r="750">
      <c r="A750" s="9" t="n">
        <v>46043</v>
      </c>
      <c r="B750" s="10" t="inlineStr">
        <is>
          <t>PHI @ UTA</t>
        </is>
      </c>
      <c r="C750" s="13" t="n">
        <v>73.38</v>
      </c>
      <c r="D750" s="13" t="n">
        <v>79.76000000000001</v>
      </c>
      <c r="E750" s="13">
        <f>IF(OR(C750="",D750=""),"",ABS(C750-D750))</f>
        <v/>
      </c>
      <c r="F750" s="11" t="inlineStr">
        <is>
          <t>UTA</t>
        </is>
      </c>
      <c r="G750" s="12" t="n">
        <v>-180</v>
      </c>
      <c r="H750" s="14">
        <f>IF(OR(F750="",G750="",AND(I750&lt;&gt;"W",I750&lt;&gt;"L")),"",IF(I750="W",IF(G750&gt;0,G750/100,1),IF(G750&lt;0,G750/100,-1)))</f>
        <v/>
      </c>
      <c r="I750" s="11" t="inlineStr">
        <is>
          <t>W</t>
        </is>
      </c>
      <c r="J750" s="10" t="inlineStr">
        <is>
          <t>PHI 4, UTA 5</t>
        </is>
      </c>
      <c r="K750" s="10" t="inlineStr">
        <is>
          <t>DraftKings closing</t>
        </is>
      </c>
    </row>
    <row r="751">
      <c r="A751" s="9" t="n">
        <v>46043</v>
      </c>
      <c r="B751" s="10" t="inlineStr">
        <is>
          <t>PIT @ CGY</t>
        </is>
      </c>
      <c r="C751" s="13" t="n">
        <v>83.95999999999999</v>
      </c>
      <c r="D751" s="13" t="n">
        <v>63.26</v>
      </c>
      <c r="E751" s="13">
        <f>IF(OR(C751="",D751=""),"",ABS(C751-D751))</f>
        <v/>
      </c>
      <c r="F751" s="11" t="inlineStr">
        <is>
          <t>PIT</t>
        </is>
      </c>
      <c r="G751" s="12" t="n">
        <v>-125</v>
      </c>
      <c r="H751" s="14">
        <f>IF(OR(F751="",G751="",AND(I751&lt;&gt;"W",I751&lt;&gt;"L")),"",IF(I751="W",IF(G751&gt;0,G751/100,1),IF(G751&lt;0,G751/100,-1)))</f>
        <v/>
      </c>
      <c r="I751" s="11" t="inlineStr">
        <is>
          <t>W</t>
        </is>
      </c>
      <c r="J751" s="10" t="inlineStr">
        <is>
          <t>PIT 4, CGY 1</t>
        </is>
      </c>
      <c r="K751" s="10" t="inlineStr">
        <is>
          <t>DraftKings closing</t>
        </is>
      </c>
    </row>
    <row r="752">
      <c r="A752" s="9" t="n">
        <v>46043</v>
      </c>
      <c r="B752" s="10" t="inlineStr">
        <is>
          <t>NYI @ SEA</t>
        </is>
      </c>
      <c r="C752" s="13" t="n">
        <v>70.76000000000001</v>
      </c>
      <c r="D752" s="13" t="n">
        <v>56.04</v>
      </c>
      <c r="E752" s="13">
        <f>IF(OR(C752="",D752=""),"",ABS(C752-D752))</f>
        <v/>
      </c>
      <c r="F752" s="11" t="inlineStr">
        <is>
          <t>NYI</t>
        </is>
      </c>
      <c r="G752" s="12" t="n">
        <v>-112</v>
      </c>
      <c r="H752" s="14">
        <f>IF(OR(F752="",G752="",AND(I752&lt;&gt;"W",I752&lt;&gt;"L")),"",IF(I752="W",IF(G752&gt;0,G752/100,1),IF(G752&lt;0,G752/100,-1)))</f>
        <v/>
      </c>
      <c r="I752" s="11" t="inlineStr">
        <is>
          <t>L</t>
        </is>
      </c>
      <c r="J752" s="10" t="inlineStr">
        <is>
          <t>NYI 1, SEA 4</t>
        </is>
      </c>
      <c r="K752" s="10" t="inlineStr">
        <is>
          <t>DraftKings closing</t>
        </is>
      </c>
    </row>
    <row r="753">
      <c r="A753" s="9" t="n">
        <v>46043</v>
      </c>
      <c r="B753" s="10" t="inlineStr">
        <is>
          <t>WSH @ VAN</t>
        </is>
      </c>
      <c r="C753" s="13" t="n">
        <v>47.77</v>
      </c>
      <c r="D753" s="13" t="n">
        <v>69.23999999999999</v>
      </c>
      <c r="E753" s="13">
        <f>IF(OR(C753="",D753=""),"",ABS(C753-D753))</f>
        <v/>
      </c>
      <c r="F753" s="11" t="inlineStr">
        <is>
          <t>VAN</t>
        </is>
      </c>
      <c r="G753" s="12" t="n">
        <v>150</v>
      </c>
      <c r="H753" s="14">
        <f>IF(OR(F753="",G753="",AND(I753&lt;&gt;"W",I753&lt;&gt;"L")),"",IF(I753="W",IF(G753&gt;0,G753/100,1),IF(G753&lt;0,G753/100,-1)))</f>
        <v/>
      </c>
      <c r="I753" s="11" t="inlineStr">
        <is>
          <t>W</t>
        </is>
      </c>
      <c r="J753" s="10" t="inlineStr">
        <is>
          <t>WSH 3, VAN 4</t>
        </is>
      </c>
      <c r="K753" s="10" t="inlineStr">
        <is>
          <t>DraftKings closing</t>
        </is>
      </c>
    </row>
    <row r="754">
      <c r="A754" s="9" t="n">
        <v>46044</v>
      </c>
      <c r="B754" s="10" t="inlineStr">
        <is>
          <t>VGK @ BOS</t>
        </is>
      </c>
      <c r="C754" s="13" t="n">
        <v>66.62</v>
      </c>
      <c r="D754" s="13" t="n">
        <v>48.21</v>
      </c>
      <c r="E754" s="13">
        <f>IF(OR(C754="",D754=""),"",ABS(C754-D754))</f>
        <v/>
      </c>
      <c r="F754" s="11" t="inlineStr">
        <is>
          <t>VGK</t>
        </is>
      </c>
      <c r="G754" s="12" t="n">
        <v>-162</v>
      </c>
      <c r="H754" s="14">
        <f>IF(OR(F754="",G754="",AND(I754&lt;&gt;"W",I754&lt;&gt;"L")),"",IF(I754="W",IF(G754&gt;0,G754/100,1),IF(G754&lt;0,G754/100,-1)))</f>
        <v/>
      </c>
      <c r="I754" s="11" t="inlineStr">
        <is>
          <t>L</t>
        </is>
      </c>
      <c r="J754" s="10" t="inlineStr">
        <is>
          <t>VGK 3, BOS 4</t>
        </is>
      </c>
      <c r="K754" s="10" t="inlineStr">
        <is>
          <t>DraftKings closing</t>
        </is>
      </c>
    </row>
    <row r="755">
      <c r="A755" s="9" t="n">
        <v>46044</v>
      </c>
      <c r="B755" s="10" t="inlineStr">
        <is>
          <t>BUF @ MTL</t>
        </is>
      </c>
      <c r="C755" s="13" t="n">
        <v>67.78</v>
      </c>
      <c r="D755" s="13" t="n">
        <v>84.64</v>
      </c>
      <c r="E755" s="13">
        <f>IF(OR(C755="",D755=""),"",ABS(C755-D755))</f>
        <v/>
      </c>
      <c r="F755" s="11" t="inlineStr">
        <is>
          <t>MTL</t>
        </is>
      </c>
      <c r="G755" s="12" t="n">
        <v>-120</v>
      </c>
      <c r="H755" s="14">
        <f>IF(OR(F755="",G755="",AND(I755&lt;&gt;"W",I755&lt;&gt;"L")),"",IF(I755="W",IF(G755&gt;0,G755/100,1),IF(G755&lt;0,G755/100,-1)))</f>
        <v/>
      </c>
      <c r="I755" s="11" t="inlineStr">
        <is>
          <t>L</t>
        </is>
      </c>
      <c r="J755" s="10" t="inlineStr">
        <is>
          <t>BUF 4, MTL 2</t>
        </is>
      </c>
      <c r="K755" s="10" t="inlineStr">
        <is>
          <t>DraftKings closing</t>
        </is>
      </c>
    </row>
    <row r="756">
      <c r="A756" s="9" t="n">
        <v>46044</v>
      </c>
      <c r="B756" s="10" t="inlineStr">
        <is>
          <t>CHI @ CAR</t>
        </is>
      </c>
      <c r="C756" s="13" t="n">
        <v>66.51000000000001</v>
      </c>
      <c r="D756" s="13" t="n">
        <v>78.59999999999999</v>
      </c>
      <c r="E756" s="13">
        <f>IF(OR(C756="",D756=""),"",ABS(C756-D756))</f>
        <v/>
      </c>
      <c r="F756" s="11" t="inlineStr">
        <is>
          <t>CAR</t>
        </is>
      </c>
      <c r="G756" s="12" t="n">
        <v>-298</v>
      </c>
      <c r="H756" s="14">
        <f>IF(OR(F756="",G756="",AND(I756&lt;&gt;"W",I756&lt;&gt;"L")),"",IF(I756="W",IF(G756&gt;0,G756/100,1),IF(G756&lt;0,G756/100,-1)))</f>
        <v/>
      </c>
      <c r="I756" s="11" t="inlineStr">
        <is>
          <t>L</t>
        </is>
      </c>
      <c r="J756" s="10" t="inlineStr">
        <is>
          <t>CHI 4, CAR 3</t>
        </is>
      </c>
      <c r="K756" s="10" t="inlineStr">
        <is>
          <t>DraftKings closing</t>
        </is>
      </c>
    </row>
    <row r="757">
      <c r="A757" s="9" t="n">
        <v>46044</v>
      </c>
      <c r="B757" s="10" t="inlineStr">
        <is>
          <t>DAL @ CBJ</t>
        </is>
      </c>
      <c r="C757" s="13" t="n">
        <v>91.79000000000001</v>
      </c>
      <c r="D757" s="13" t="n">
        <v>63.74</v>
      </c>
      <c r="E757" s="13">
        <f>IF(OR(C757="",D757=""),"",ABS(C757-D757))</f>
        <v/>
      </c>
      <c r="F757" s="11" t="inlineStr">
        <is>
          <t>DAL</t>
        </is>
      </c>
      <c r="G757" s="12" t="n">
        <v>-110</v>
      </c>
      <c r="H757" s="14">
        <f>IF(OR(F757="",G757="",AND(I757&lt;&gt;"W",I757&lt;&gt;"L")),"",IF(I757="W",IF(G757&gt;0,G757/100,1),IF(G757&lt;0,G757/100,-1)))</f>
        <v/>
      </c>
      <c r="I757" s="11" t="inlineStr">
        <is>
          <t>L</t>
        </is>
      </c>
      <c r="J757" s="10" t="inlineStr">
        <is>
          <t>DAL 0, CBJ 1</t>
        </is>
      </c>
      <c r="K757" s="10" t="inlineStr">
        <is>
          <t>DraftKings closing</t>
        </is>
      </c>
    </row>
    <row r="758">
      <c r="A758" s="9" t="n">
        <v>46044</v>
      </c>
      <c r="B758" s="10" t="inlineStr">
        <is>
          <t>OTT @ NSH</t>
        </is>
      </c>
      <c r="C758" s="13" t="n">
        <v>76.26000000000001</v>
      </c>
      <c r="D758" s="13" t="n">
        <v>72.22</v>
      </c>
      <c r="E758" s="13">
        <f>IF(OR(C758="",D758=""),"",ABS(C758-D758))</f>
        <v/>
      </c>
      <c r="F758" s="11" t="inlineStr">
        <is>
          <t>OTT</t>
        </is>
      </c>
      <c r="G758" s="12" t="n">
        <v>-118</v>
      </c>
      <c r="H758" s="14">
        <f>IF(OR(F758="",G758="",AND(I758&lt;&gt;"W",I758&lt;&gt;"L")),"",IF(I758="W",IF(G758&gt;0,G758/100,1),IF(G758&lt;0,G758/100,-1)))</f>
        <v/>
      </c>
      <c r="I758" s="11" t="inlineStr">
        <is>
          <t>L</t>
        </is>
      </c>
      <c r="J758" s="10" t="inlineStr">
        <is>
          <t>OTT 3, NSH 5</t>
        </is>
      </c>
      <c r="K758" s="10" t="inlineStr">
        <is>
          <t>DraftKings closing</t>
        </is>
      </c>
    </row>
    <row r="759">
      <c r="A759" s="9" t="n">
        <v>46044</v>
      </c>
      <c r="B759" s="10" t="inlineStr">
        <is>
          <t>FLA @ WPG</t>
        </is>
      </c>
      <c r="C759" s="13" t="n">
        <v>65.78</v>
      </c>
      <c r="D759" s="13" t="n">
        <v>67.73</v>
      </c>
      <c r="E759" s="13">
        <f>IF(OR(C759="",D759=""),"",ABS(C759-D759))</f>
        <v/>
      </c>
      <c r="F759" s="11" t="inlineStr">
        <is>
          <t>WPG</t>
        </is>
      </c>
      <c r="G759" s="12" t="n">
        <v>-110</v>
      </c>
      <c r="H759" s="14">
        <f>IF(OR(F759="",G759="",AND(I759&lt;&gt;"W",I759&lt;&gt;"L")),"",IF(I759="W",IF(G759&gt;0,G759/100,1),IF(G759&lt;0,G759/100,-1)))</f>
        <v/>
      </c>
      <c r="I759" s="11" t="inlineStr">
        <is>
          <t>L</t>
        </is>
      </c>
      <c r="J759" s="10" t="inlineStr">
        <is>
          <t>FLA 2, WPG 1</t>
        </is>
      </c>
      <c r="K759" s="10" t="inlineStr">
        <is>
          <t>DraftKings closing</t>
        </is>
      </c>
    </row>
    <row r="760">
      <c r="A760" s="9" t="n">
        <v>46044</v>
      </c>
      <c r="B760" s="10" t="inlineStr">
        <is>
          <t>PIT @ EDM</t>
        </is>
      </c>
      <c r="C760" s="13" t="n">
        <v>82.04000000000001</v>
      </c>
      <c r="D760" s="13" t="n">
        <v>66.94</v>
      </c>
      <c r="E760" s="13">
        <f>IF(OR(C760="",D760=""),"",ABS(C760-D760))</f>
        <v/>
      </c>
      <c r="F760" s="11" t="inlineStr">
        <is>
          <t>PIT</t>
        </is>
      </c>
      <c r="G760" s="12" t="n">
        <v>160</v>
      </c>
      <c r="H760" s="14">
        <f>IF(OR(F760="",G760="",AND(I760&lt;&gt;"W",I760&lt;&gt;"L")),"",IF(I760="W",IF(G760&gt;0,G760/100,1),IF(G760&lt;0,G760/100,-1)))</f>
        <v/>
      </c>
      <c r="I760" s="11" t="inlineStr">
        <is>
          <t>W</t>
        </is>
      </c>
      <c r="J760" s="10" t="inlineStr">
        <is>
          <t>PIT 6, EDM 2</t>
        </is>
      </c>
      <c r="K760" s="10" t="inlineStr">
        <is>
          <t>DraftKings closing</t>
        </is>
      </c>
    </row>
    <row r="761">
      <c r="A761" s="9" t="n">
        <v>46044</v>
      </c>
      <c r="B761" s="10" t="inlineStr">
        <is>
          <t>DET @ MIN</t>
        </is>
      </c>
      <c r="C761" s="13" t="n">
        <v>77.18000000000001</v>
      </c>
      <c r="D761" s="13" t="n">
        <v>55.36</v>
      </c>
      <c r="E761" s="13">
        <f>IF(OR(C761="",D761=""),"",ABS(C761-D761))</f>
        <v/>
      </c>
      <c r="F761" s="11" t="inlineStr">
        <is>
          <t>DET</t>
        </is>
      </c>
      <c r="G761" s="12" t="n">
        <v>136</v>
      </c>
      <c r="H761" s="14">
        <f>IF(OR(F761="",G761="",AND(I761&lt;&gt;"W",I761&lt;&gt;"L")),"",IF(I761="W",IF(G761&gt;0,G761/100,1),IF(G761&lt;0,G761/100,-1)))</f>
        <v/>
      </c>
      <c r="I761" s="11" t="inlineStr">
        <is>
          <t>L</t>
        </is>
      </c>
      <c r="J761" s="10" t="inlineStr">
        <is>
          <t>DET 3, MIN 4</t>
        </is>
      </c>
      <c r="K761" s="10" t="inlineStr">
        <is>
          <t>DraftKings closing</t>
        </is>
      </c>
    </row>
    <row r="762">
      <c r="A762" s="9" t="n">
        <v>46045</v>
      </c>
      <c r="B762" s="10" t="inlineStr">
        <is>
          <t>VGK @ TOR</t>
        </is>
      </c>
      <c r="C762" s="13" t="n">
        <v>68.72</v>
      </c>
      <c r="D762" s="13" t="n">
        <v>62.82</v>
      </c>
      <c r="E762" s="13">
        <f>IF(OR(C762="",D762=""),"",ABS(C762-D762))</f>
        <v/>
      </c>
      <c r="F762" s="11" t="inlineStr">
        <is>
          <t>VGK</t>
        </is>
      </c>
      <c r="G762" s="12" t="n">
        <v>-122</v>
      </c>
      <c r="H762" s="14">
        <f>IF(OR(F762="",G762="",AND(I762&lt;&gt;"W",I762&lt;&gt;"L")),"",IF(I762="W",IF(G762&gt;0,G762/100,1),IF(G762&lt;0,G762/100,-1)))</f>
        <v/>
      </c>
      <c r="I762" s="11" t="inlineStr">
        <is>
          <t>W</t>
        </is>
      </c>
      <c r="J762" s="10" t="inlineStr">
        <is>
          <t>VGK 6, TOR 3</t>
        </is>
      </c>
      <c r="K762" s="10" t="inlineStr">
        <is>
          <t>DraftKings closing</t>
        </is>
      </c>
    </row>
    <row r="763">
      <c r="A763" s="9" t="n">
        <v>46045</v>
      </c>
      <c r="B763" s="10" t="inlineStr">
        <is>
          <t>TBL @ CHI</t>
        </is>
      </c>
      <c r="C763" s="13" t="n">
        <v>86.26000000000001</v>
      </c>
      <c r="D763" s="13" t="n">
        <v>61.69</v>
      </c>
      <c r="E763" s="13">
        <f>IF(OR(C763="",D763=""),"",ABS(C763-D763))</f>
        <v/>
      </c>
      <c r="F763" s="11" t="inlineStr">
        <is>
          <t>TBL</t>
        </is>
      </c>
      <c r="G763" s="12" t="n">
        <v>-310</v>
      </c>
      <c r="H763" s="14">
        <f>IF(OR(F763="",G763="",AND(I763&lt;&gt;"W",I763&lt;&gt;"L")),"",IF(I763="W",IF(G763&gt;0,G763/100,1),IF(G763&lt;0,G763/100,-1)))</f>
        <v/>
      </c>
      <c r="I763" s="11" t="inlineStr">
        <is>
          <t>W</t>
        </is>
      </c>
      <c r="J763" s="10" t="inlineStr">
        <is>
          <t>TBL 2, CHI 1</t>
        </is>
      </c>
      <c r="K763" s="10" t="inlineStr">
        <is>
          <t>DraftKings closing</t>
        </is>
      </c>
    </row>
    <row r="764">
      <c r="A764" s="9" t="n">
        <v>46045</v>
      </c>
      <c r="B764" s="10" t="inlineStr">
        <is>
          <t>STL @ DAL</t>
        </is>
      </c>
      <c r="C764" s="13" t="n">
        <v>72.27</v>
      </c>
      <c r="D764" s="13" t="n">
        <v>71.86</v>
      </c>
      <c r="E764" s="13">
        <f>IF(OR(C764="",D764=""),"",ABS(C764-D764))</f>
        <v/>
      </c>
      <c r="F764" s="11" t="inlineStr">
        <is>
          <t>STL</t>
        </is>
      </c>
      <c r="G764" s="12" t="n">
        <v>136</v>
      </c>
      <c r="H764" s="14">
        <f>IF(OR(F764="",G764="",AND(I764&lt;&gt;"W",I764&lt;&gt;"L")),"",IF(I764="W",IF(G764&gt;0,G764/100,1),IF(G764&lt;0,G764/100,-1)))</f>
        <v/>
      </c>
      <c r="I764" s="11" t="inlineStr">
        <is>
          <t>L</t>
        </is>
      </c>
      <c r="J764" s="10" t="inlineStr">
        <is>
          <t>STL 2, DAL 3</t>
        </is>
      </c>
      <c r="K764" s="10" t="inlineStr">
        <is>
          <t>DraftKings closing</t>
        </is>
      </c>
    </row>
    <row r="765">
      <c r="A765" s="9" t="n">
        <v>46045</v>
      </c>
      <c r="B765" s="10" t="inlineStr">
        <is>
          <t>PHI @ COL</t>
        </is>
      </c>
      <c r="C765" s="13" t="n">
        <v>66.29000000000001</v>
      </c>
      <c r="D765" s="13" t="n">
        <v>83.88</v>
      </c>
      <c r="E765" s="13">
        <f>IF(OR(C765="",D765=""),"",ABS(C765-D765))</f>
        <v/>
      </c>
      <c r="F765" s="11" t="inlineStr">
        <is>
          <t>COL</t>
        </is>
      </c>
      <c r="G765" s="12" t="n">
        <v>-325</v>
      </c>
      <c r="H765" s="14">
        <f>IF(OR(F765="",G765="",AND(I765&lt;&gt;"W",I765&lt;&gt;"L")),"",IF(I765="W",IF(G765&gt;0,G765/100,1),IF(G765&lt;0,G765/100,-1)))</f>
        <v/>
      </c>
      <c r="I765" s="11" t="inlineStr">
        <is>
          <t>L</t>
        </is>
      </c>
      <c r="J765" s="10" t="inlineStr">
        <is>
          <t>PHI 7, COL 3</t>
        </is>
      </c>
      <c r="K765" s="10" t="inlineStr">
        <is>
          <t>DraftKings closing</t>
        </is>
      </c>
    </row>
    <row r="766">
      <c r="A766" s="9" t="n">
        <v>46045</v>
      </c>
      <c r="B766" s="10" t="inlineStr">
        <is>
          <t>WSH @ CGY</t>
        </is>
      </c>
      <c r="C766" s="13" t="n">
        <v>69.91</v>
      </c>
      <c r="D766" s="13" t="n">
        <v>57.96</v>
      </c>
      <c r="E766" s="13">
        <f>IF(OR(C766="",D766=""),"",ABS(C766-D766))</f>
        <v/>
      </c>
      <c r="F766" s="11" t="inlineStr">
        <is>
          <t>WSH</t>
        </is>
      </c>
      <c r="G766" s="12" t="n">
        <v>-148</v>
      </c>
      <c r="H766" s="14">
        <f>IF(OR(F766="",G766="",AND(I766&lt;&gt;"W",I766&lt;&gt;"L")),"",IF(I766="W",IF(G766&gt;0,G766/100,1),IF(G766&lt;0,G766/100,-1)))</f>
        <v/>
      </c>
      <c r="I766" s="11" t="inlineStr">
        <is>
          <t>W</t>
        </is>
      </c>
      <c r="J766" s="10" t="inlineStr">
        <is>
          <t>WSH 3, CGY 1</t>
        </is>
      </c>
      <c r="K766" s="10" t="inlineStr">
        <is>
          <t>DraftKings closing</t>
        </is>
      </c>
    </row>
    <row r="767">
      <c r="A767" s="9" t="n">
        <v>46045</v>
      </c>
      <c r="B767" s="10" t="inlineStr">
        <is>
          <t>NJD @ VAN</t>
        </is>
      </c>
      <c r="C767" s="13" t="n">
        <v>73.06</v>
      </c>
      <c r="D767" s="13" t="n">
        <v>70.09</v>
      </c>
      <c r="E767" s="13">
        <f>IF(OR(C767="",D767=""),"",ABS(C767-D767))</f>
        <v/>
      </c>
      <c r="F767" s="11" t="inlineStr">
        <is>
          <t>NJD</t>
        </is>
      </c>
      <c r="G767" s="12" t="n">
        <v>-155</v>
      </c>
      <c r="H767" s="14">
        <f>IF(OR(F767="",G767="",AND(I767&lt;&gt;"W",I767&lt;&gt;"L")),"",IF(I767="W",IF(G767&gt;0,G767/100,1),IF(G767&lt;0,G767/100,-1)))</f>
        <v/>
      </c>
      <c r="I767" s="11" t="inlineStr">
        <is>
          <t>W</t>
        </is>
      </c>
      <c r="J767" s="10" t="inlineStr">
        <is>
          <t>NJD 5, VAN 4</t>
        </is>
      </c>
      <c r="K767" s="10" t="inlineStr">
        <is>
          <t>DraftKings closing</t>
        </is>
      </c>
    </row>
    <row r="768">
      <c r="A768" s="9" t="n">
        <v>46045</v>
      </c>
      <c r="B768" s="10" t="inlineStr">
        <is>
          <t>NYR @ SJS</t>
        </is>
      </c>
      <c r="C768" s="13" t="n">
        <v>59.97</v>
      </c>
      <c r="D768" s="13" t="n">
        <v>53.74</v>
      </c>
      <c r="E768" s="13">
        <f>IF(OR(C768="",D768=""),"",ABS(C768-D768))</f>
        <v/>
      </c>
      <c r="F768" s="11" t="inlineStr">
        <is>
          <t>NYR</t>
        </is>
      </c>
      <c r="G768" s="12" t="n">
        <v>110</v>
      </c>
      <c r="H768" s="14">
        <f>IF(OR(F768="",G768="",AND(I768&lt;&gt;"W",I768&lt;&gt;"L")),"",IF(I768="W",IF(G768&gt;0,G768/100,1),IF(G768&lt;0,G768/100,-1)))</f>
        <v/>
      </c>
      <c r="I768" s="11" t="inlineStr">
        <is>
          <t>L</t>
        </is>
      </c>
      <c r="J768" s="10" t="inlineStr">
        <is>
          <t>NYR 1, SJS 3</t>
        </is>
      </c>
      <c r="K768" s="10" t="inlineStr">
        <is>
          <t>DraftKings closing</t>
        </is>
      </c>
    </row>
    <row r="769">
      <c r="A769" s="9" t="n">
        <v>46045</v>
      </c>
      <c r="B769" s="10" t="inlineStr">
        <is>
          <t>ANA @ SEA</t>
        </is>
      </c>
      <c r="C769" s="13" t="n">
        <v>56.12</v>
      </c>
      <c r="D769" s="13" t="n">
        <v>73.56999999999999</v>
      </c>
      <c r="E769" s="13">
        <f>IF(OR(C769="",D769=""),"",ABS(C769-D769))</f>
        <v/>
      </c>
      <c r="F769" s="11" t="inlineStr">
        <is>
          <t>SEA</t>
        </is>
      </c>
      <c r="G769" s="12" t="n">
        <v>-122</v>
      </c>
      <c r="H769" s="14">
        <f>IF(OR(F769="",G769="",AND(I769&lt;&gt;"W",I769&lt;&gt;"L")),"",IF(I769="W",IF(G769&gt;0,G769/100,1),IF(G769&lt;0,G769/100,-1)))</f>
        <v/>
      </c>
      <c r="I769" s="11" t="inlineStr">
        <is>
          <t>L</t>
        </is>
      </c>
      <c r="J769" s="10" t="inlineStr">
        <is>
          <t>ANA 4, SEA 2</t>
        </is>
      </c>
      <c r="K769" s="10" t="inlineStr">
        <is>
          <t>DraftKings closing</t>
        </is>
      </c>
    </row>
    <row r="770">
      <c r="A770" s="9" t="n">
        <v>46046</v>
      </c>
      <c r="B770" s="10" t="inlineStr">
        <is>
          <t>BUF @ NYI</t>
        </is>
      </c>
      <c r="C770" s="13" t="n">
        <v>68.45999999999999</v>
      </c>
      <c r="D770" s="13" t="n">
        <v>66.43000000000001</v>
      </c>
      <c r="E770" s="13">
        <f>IF(OR(C770="",D770=""),"",ABS(C770-D770))</f>
        <v/>
      </c>
      <c r="F770" s="11" t="inlineStr">
        <is>
          <t>BUF</t>
        </is>
      </c>
      <c r="G770" s="12" t="n">
        <v>-110</v>
      </c>
      <c r="H770" s="14">
        <f>IF(OR(F770="",G770="",AND(I770&lt;&gt;"W",I770&lt;&gt;"L")),"",IF(I770="W",IF(G770&gt;0,G770/100,1),IF(G770&lt;0,G770/100,-1)))</f>
        <v/>
      </c>
      <c r="I770" s="11" t="inlineStr">
        <is>
          <t>W</t>
        </is>
      </c>
      <c r="J770" s="10" t="inlineStr">
        <is>
          <t>BUF 5, NYI 0</t>
        </is>
      </c>
      <c r="K770" s="10" t="inlineStr">
        <is>
          <t>DraftKings closing</t>
        </is>
      </c>
    </row>
    <row r="771">
      <c r="A771" s="9" t="n">
        <v>46046</v>
      </c>
      <c r="B771" s="10" t="inlineStr">
        <is>
          <t>UTA @ NSH</t>
        </is>
      </c>
      <c r="C771" s="13" t="n">
        <v>73.70999999999999</v>
      </c>
      <c r="D771" s="13" t="n">
        <v>72.98</v>
      </c>
      <c r="E771" s="13">
        <f>IF(OR(C771="",D771=""),"",ABS(C771-D771))</f>
        <v/>
      </c>
      <c r="F771" s="11" t="inlineStr">
        <is>
          <t>UTA</t>
        </is>
      </c>
      <c r="G771" s="12" t="n">
        <v>-115</v>
      </c>
      <c r="H771" s="14">
        <f>IF(OR(F771="",G771="",AND(I771&lt;&gt;"W",I771&lt;&gt;"L")),"",IF(I771="W",IF(G771&gt;0,G771/100,1),IF(G771&lt;0,G771/100,-1)))</f>
        <v/>
      </c>
      <c r="I771" s="11" t="inlineStr">
        <is>
          <t>W</t>
        </is>
      </c>
      <c r="J771" s="10" t="inlineStr">
        <is>
          <t>UTA 5, NSH 2</t>
        </is>
      </c>
      <c r="K771" s="10" t="inlineStr">
        <is>
          <t>DraftKings closing</t>
        </is>
      </c>
    </row>
    <row r="772">
      <c r="A772" s="9" t="n">
        <v>46046</v>
      </c>
      <c r="B772" s="10" t="inlineStr">
        <is>
          <t>MTL @ BOS</t>
        </is>
      </c>
      <c r="C772" s="13" t="n">
        <v>71.54000000000001</v>
      </c>
      <c r="D772" s="13" t="n">
        <v>71.28</v>
      </c>
      <c r="E772" s="13">
        <f>IF(OR(C772="",D772=""),"",ABS(C772-D772))</f>
        <v/>
      </c>
      <c r="F772" s="11" t="inlineStr">
        <is>
          <t>MTL</t>
        </is>
      </c>
      <c r="G772" s="12" t="n">
        <v>-105</v>
      </c>
      <c r="H772" s="14">
        <f>IF(OR(F772="",G772="",AND(I772&lt;&gt;"W",I772&lt;&gt;"L")),"",IF(I772="W",IF(G772&gt;0,G772/100,1),IF(G772&lt;0,G772/100,-1)))</f>
        <v/>
      </c>
      <c r="I772" s="11" t="inlineStr">
        <is>
          <t>L</t>
        </is>
      </c>
      <c r="J772" s="10" t="inlineStr">
        <is>
          <t>MTL 3, BOS 4</t>
        </is>
      </c>
      <c r="K772" s="10" t="inlineStr">
        <is>
          <t>DraftKings closing</t>
        </is>
      </c>
    </row>
    <row r="773">
      <c r="A773" s="9" t="n">
        <v>46046</v>
      </c>
      <c r="B773" s="10" t="inlineStr">
        <is>
          <t>CAR @ OTT</t>
        </is>
      </c>
      <c r="C773" s="13" t="n">
        <v>78.31</v>
      </c>
      <c r="D773" s="13" t="n">
        <v>67.02</v>
      </c>
      <c r="E773" s="13">
        <f>IF(OR(C773="",D773=""),"",ABS(C773-D773))</f>
        <v/>
      </c>
      <c r="F773" s="11" t="inlineStr">
        <is>
          <t>CAR</t>
        </is>
      </c>
      <c r="G773" s="12" t="n">
        <v>-135</v>
      </c>
      <c r="H773" s="14">
        <f>IF(OR(F773="",G773="",AND(I773&lt;&gt;"W",I773&lt;&gt;"L")),"",IF(I773="W",IF(G773&gt;0,G773/100,1),IF(G773&lt;0,G773/100,-1)))</f>
        <v/>
      </c>
      <c r="I773" s="11" t="inlineStr">
        <is>
          <t>W</t>
        </is>
      </c>
      <c r="J773" s="10" t="inlineStr">
        <is>
          <t>CAR 4, OTT 1</t>
        </is>
      </c>
      <c r="K773" s="10" t="inlineStr">
        <is>
          <t>DraftKings closing</t>
        </is>
      </c>
    </row>
    <row r="774">
      <c r="A774" s="9" t="n">
        <v>46046</v>
      </c>
      <c r="B774" s="10" t="inlineStr">
        <is>
          <t>TBL @ CBJ</t>
        </is>
      </c>
      <c r="C774" s="13" t="n">
        <v>82.04000000000001</v>
      </c>
      <c r="D774" s="13" t="n">
        <v>68.14</v>
      </c>
      <c r="E774" s="13">
        <f>IF(OR(C774="",D774=""),"",ABS(C774-D774))</f>
        <v/>
      </c>
      <c r="F774" s="11" t="inlineStr">
        <is>
          <t>TBL</t>
        </is>
      </c>
      <c r="G774" s="12" t="n">
        <v>-115</v>
      </c>
      <c r="H774" s="14">
        <f>IF(OR(F774="",G774="",AND(I774&lt;&gt;"W",I774&lt;&gt;"L")),"",IF(I774="W",IF(G774&gt;0,G774/100,1),IF(G774&lt;0,G774/100,-1)))</f>
        <v/>
      </c>
      <c r="I774" s="11" t="inlineStr">
        <is>
          <t>L</t>
        </is>
      </c>
      <c r="J774" s="10" t="inlineStr">
        <is>
          <t>TBL 5, CBJ 8</t>
        </is>
      </c>
      <c r="K774" s="10" t="inlineStr">
        <is>
          <t>DraftKings closing</t>
        </is>
      </c>
    </row>
    <row r="775">
      <c r="A775" s="9" t="n">
        <v>46046</v>
      </c>
      <c r="B775" s="10" t="inlineStr">
        <is>
          <t>DET @ WPG</t>
        </is>
      </c>
      <c r="C775" s="13" t="n">
        <v>70.17</v>
      </c>
      <c r="D775" s="13" t="n">
        <v>70.16</v>
      </c>
      <c r="E775" s="13">
        <f>IF(OR(C775="",D775=""),"",ABS(C775-D775))</f>
        <v/>
      </c>
      <c r="F775" s="11" t="inlineStr">
        <is>
          <t>DET</t>
        </is>
      </c>
      <c r="G775" s="12" t="n">
        <v>105</v>
      </c>
      <c r="H775" s="14">
        <f>IF(OR(F775="",G775="",AND(I775&lt;&gt;"W",I775&lt;&gt;"L")),"",IF(I775="W",IF(G775&gt;0,G775/100,1),IF(G775&lt;0,G775/100,-1)))</f>
        <v/>
      </c>
      <c r="I775" s="11" t="inlineStr">
        <is>
          <t>W</t>
        </is>
      </c>
      <c r="J775" s="10" t="inlineStr">
        <is>
          <t>DET 5, WPG 1</t>
        </is>
      </c>
      <c r="K775" s="10" t="inlineStr">
        <is>
          <t>DraftKings closing</t>
        </is>
      </c>
    </row>
    <row r="776">
      <c r="A776" s="9" t="n">
        <v>46046</v>
      </c>
      <c r="B776" s="10" t="inlineStr">
        <is>
          <t>LAK @ STL</t>
        </is>
      </c>
      <c r="C776" s="13" t="n">
        <v>80.03</v>
      </c>
      <c r="D776" s="13" t="n">
        <v>69.44</v>
      </c>
      <c r="E776" s="13">
        <f>IF(OR(C776="",D776=""),"",ABS(C776-D776))</f>
        <v/>
      </c>
      <c r="F776" s="11" t="inlineStr">
        <is>
          <t>LAK</t>
        </is>
      </c>
      <c r="G776" s="12" t="n">
        <v>-148</v>
      </c>
      <c r="H776" s="14">
        <f>IF(OR(F776="",G776="",AND(I776&lt;&gt;"W",I776&lt;&gt;"L")),"",IF(I776="W",IF(G776&gt;0,G776/100,1),IF(G776&lt;0,G776/100,-1)))</f>
        <v/>
      </c>
      <c r="I776" s="11" t="inlineStr">
        <is>
          <t>W</t>
        </is>
      </c>
      <c r="J776" s="10" t="inlineStr">
        <is>
          <t>LAK 5, STL 4</t>
        </is>
      </c>
      <c r="K776" s="10" t="inlineStr">
        <is>
          <t>DraftKings closing</t>
        </is>
      </c>
    </row>
    <row r="777">
      <c r="A777" s="9" t="n">
        <v>46046</v>
      </c>
      <c r="B777" s="10" t="inlineStr">
        <is>
          <t>FLA @ MIN</t>
        </is>
      </c>
      <c r="C777" s="13" t="n">
        <v>69.84</v>
      </c>
      <c r="D777" s="13" t="n">
        <v>69.83</v>
      </c>
      <c r="E777" s="13">
        <f>IF(OR(C777="",D777=""),"",ABS(C777-D777))</f>
        <v/>
      </c>
      <c r="F777" s="11" t="inlineStr">
        <is>
          <t>FLA</t>
        </is>
      </c>
      <c r="G777" s="12" t="n">
        <v>110</v>
      </c>
      <c r="H777" s="14">
        <f>IF(OR(F777="",G777="",AND(I777&lt;&gt;"W",I777&lt;&gt;"L")),"",IF(I777="W",IF(G777&gt;0,G777/100,1),IF(G777&lt;0,G777/100,-1)))</f>
        <v/>
      </c>
      <c r="I777" s="11" t="inlineStr">
        <is>
          <t>W</t>
        </is>
      </c>
      <c r="J777" s="10" t="inlineStr">
        <is>
          <t>FLA 4, MIN 3</t>
        </is>
      </c>
      <c r="K777" s="10" t="inlineStr">
        <is>
          <t>DraftKings closing</t>
        </is>
      </c>
    </row>
    <row r="778">
      <c r="A778" s="9" t="n">
        <v>46046</v>
      </c>
      <c r="B778" s="10" t="inlineStr">
        <is>
          <t>WSH @ EDM</t>
        </is>
      </c>
      <c r="C778" s="13" t="n">
        <v>77.79000000000001</v>
      </c>
      <c r="D778" s="13" t="n">
        <v>56.54</v>
      </c>
      <c r="E778" s="13">
        <f>IF(OR(C778="",D778=""),"",ABS(C778-D778))</f>
        <v/>
      </c>
      <c r="F778" s="11" t="inlineStr">
        <is>
          <t>WSH</t>
        </is>
      </c>
      <c r="G778" s="12" t="n">
        <v>145</v>
      </c>
      <c r="H778" s="14">
        <f>IF(OR(F778="",G778="",AND(I778&lt;&gt;"W",I778&lt;&gt;"L")),"",IF(I778="W",IF(G778&gt;0,G778/100,1),IF(G778&lt;0,G778/100,-1)))</f>
        <v/>
      </c>
      <c r="I778" s="11" t="inlineStr">
        <is>
          <t>L</t>
        </is>
      </c>
      <c r="J778" s="10" t="inlineStr">
        <is>
          <t>WSH 5, EDM 6</t>
        </is>
      </c>
      <c r="K778" s="10" t="inlineStr">
        <is>
          <t>DraftKings closing</t>
        </is>
      </c>
    </row>
    <row r="779">
      <c r="A779" s="9" t="n">
        <v>46047</v>
      </c>
      <c r="B779" s="10" t="inlineStr">
        <is>
          <t>COL @ TOR</t>
        </is>
      </c>
      <c r="C779" s="13" t="n">
        <v>67.56999999999999</v>
      </c>
      <c r="D779" s="13" t="n">
        <v>61.35</v>
      </c>
      <c r="E779" s="13">
        <f>IF(OR(C779="",D779=""),"",ABS(C779-D779))</f>
        <v/>
      </c>
      <c r="F779" s="11" t="inlineStr">
        <is>
          <t>COL</t>
        </is>
      </c>
      <c r="G779" s="12" t="n">
        <v>-175</v>
      </c>
      <c r="H779" s="14">
        <f>IF(OR(F779="",G779="",AND(I779&lt;&gt;"W",I779&lt;&gt;"L")),"",IF(I779="W",IF(G779&gt;0,G779/100,1),IF(G779&lt;0,G779/100,-1)))</f>
        <v/>
      </c>
      <c r="I779" s="11" t="inlineStr">
        <is>
          <t>W</t>
        </is>
      </c>
      <c r="J779" s="10" t="inlineStr">
        <is>
          <t>COL 4, TOR 1</t>
        </is>
      </c>
      <c r="K779" s="10" t="inlineStr">
        <is>
          <t>DraftKings closing</t>
        </is>
      </c>
    </row>
    <row r="780">
      <c r="A780" s="9" t="n">
        <v>46047</v>
      </c>
      <c r="B780" s="10" t="inlineStr">
        <is>
          <t>NJD @ SEA</t>
        </is>
      </c>
      <c r="C780" s="13" t="n">
        <v>77.13</v>
      </c>
      <c r="D780" s="13" t="n">
        <v>61.36</v>
      </c>
      <c r="E780" s="13">
        <f>IF(OR(C780="",D780=""),"",ABS(C780-D780))</f>
        <v/>
      </c>
      <c r="F780" s="11" t="inlineStr">
        <is>
          <t>NJD</t>
        </is>
      </c>
      <c r="G780" s="12" t="n">
        <v>-125</v>
      </c>
      <c r="H780" s="14">
        <f>IF(OR(F780="",G780="",AND(I780&lt;&gt;"W",I780&lt;&gt;"L")),"",IF(I780="W",IF(G780&gt;0,G780/100,1),IF(G780&lt;0,G780/100,-1)))</f>
        <v/>
      </c>
      <c r="I780" s="11" t="inlineStr">
        <is>
          <t>L</t>
        </is>
      </c>
      <c r="J780" s="10" t="inlineStr">
        <is>
          <t>NJD 2, SEA 4</t>
        </is>
      </c>
      <c r="K780" s="10" t="inlineStr">
        <is>
          <t>DraftKings closing</t>
        </is>
      </c>
    </row>
    <row r="781">
      <c r="A781" s="9" t="n">
        <v>46047</v>
      </c>
      <c r="B781" s="10" t="inlineStr">
        <is>
          <t>VGK @ OTT</t>
        </is>
      </c>
      <c r="C781" s="13" t="n">
        <v>78.65000000000001</v>
      </c>
      <c r="D781" s="13" t="n">
        <v>63.45</v>
      </c>
      <c r="E781" s="13">
        <f>IF(OR(C781="",D781=""),"",ABS(C781-D781))</f>
        <v/>
      </c>
      <c r="F781" s="11" t="inlineStr">
        <is>
          <t>VGK</t>
        </is>
      </c>
      <c r="G781" s="12" t="n">
        <v>-148</v>
      </c>
      <c r="H781" s="14">
        <f>IF(OR(F781="",G781="",AND(I781&lt;&gt;"W",I781&lt;&gt;"L")),"",IF(I781="W",IF(G781&gt;0,G781/100,1),IF(G781&lt;0,G781/100,-1)))</f>
        <v/>
      </c>
      <c r="I781" s="11" t="inlineStr">
        <is>
          <t>L</t>
        </is>
      </c>
      <c r="J781" s="10" t="inlineStr">
        <is>
          <t>VGK 1, OTT 7</t>
        </is>
      </c>
      <c r="K781" s="10" t="inlineStr">
        <is>
          <t>DraftKings closing</t>
        </is>
      </c>
    </row>
    <row r="782">
      <c r="A782" s="9" t="n">
        <v>46047</v>
      </c>
      <c r="B782" s="10" t="inlineStr">
        <is>
          <t>PIT @ VAN</t>
        </is>
      </c>
      <c r="C782" s="13" t="n">
        <v>83.45999999999999</v>
      </c>
      <c r="D782" s="13" t="n">
        <v>62.87</v>
      </c>
      <c r="E782" s="13">
        <f>IF(OR(C782="",D782=""),"",ABS(C782-D782))</f>
        <v/>
      </c>
      <c r="F782" s="11" t="inlineStr">
        <is>
          <t>PIT</t>
        </is>
      </c>
      <c r="G782" s="12" t="n">
        <v>-148</v>
      </c>
      <c r="H782" s="14">
        <f>IF(OR(F782="",G782="",AND(I782&lt;&gt;"W",I782&lt;&gt;"L")),"",IF(I782="W",IF(G782&gt;0,G782/100,1),IF(G782&lt;0,G782/100,-1)))</f>
        <v/>
      </c>
      <c r="I782" s="11" t="inlineStr">
        <is>
          <t>W</t>
        </is>
      </c>
      <c r="J782" s="10" t="inlineStr">
        <is>
          <t>PIT 3, VAN 2</t>
        </is>
      </c>
      <c r="K782" s="10" t="inlineStr">
        <is>
          <t>DraftKings closing</t>
        </is>
      </c>
    </row>
    <row r="783">
      <c r="A783" s="9" t="n">
        <v>46047</v>
      </c>
      <c r="B783" s="10" t="inlineStr">
        <is>
          <t>FLA @ CHI</t>
        </is>
      </c>
      <c r="C783" s="13" t="n">
        <v>75.81</v>
      </c>
      <c r="D783" s="13" t="n">
        <v>57.96</v>
      </c>
      <c r="E783" s="13">
        <f>IF(OR(C783="",D783=""),"",ABS(C783-D783))</f>
        <v/>
      </c>
      <c r="F783" s="11" t="inlineStr">
        <is>
          <t>FLA</t>
        </is>
      </c>
      <c r="G783" s="12" t="n">
        <v>-135</v>
      </c>
      <c r="H783" s="14">
        <f>IF(OR(F783="",G783="",AND(I783&lt;&gt;"W",I783&lt;&gt;"L")),"",IF(I783="W",IF(G783&gt;0,G783/100,1),IF(G783&lt;0,G783/100,-1)))</f>
        <v/>
      </c>
      <c r="I783" s="11" t="inlineStr">
        <is>
          <t>W</t>
        </is>
      </c>
      <c r="J783" s="10" t="inlineStr">
        <is>
          <t>FLA 5, CHI 1</t>
        </is>
      </c>
      <c r="K783" s="10" t="inlineStr">
        <is>
          <t>DraftKings closing</t>
        </is>
      </c>
    </row>
    <row r="784">
      <c r="A784" s="9" t="n">
        <v>46047</v>
      </c>
      <c r="B784" s="10" t="inlineStr">
        <is>
          <t>ANA @ CGY</t>
        </is>
      </c>
      <c r="C784" s="13" t="n">
        <v>78.64</v>
      </c>
      <c r="D784" s="13" t="n">
        <v>62.21</v>
      </c>
      <c r="E784" s="13">
        <f>IF(OR(C784="",D784=""),"",ABS(C784-D784))</f>
        <v/>
      </c>
      <c r="F784" s="11" t="inlineStr">
        <is>
          <t>ANA</t>
        </is>
      </c>
      <c r="G784" s="12" t="n">
        <v>-112</v>
      </c>
      <c r="H784" s="14">
        <f>IF(OR(F784="",G784="",AND(I784&lt;&gt;"W",I784&lt;&gt;"L")),"",IF(I784="W",IF(G784&gt;0,G784/100,1),IF(G784&lt;0,G784/100,-1)))</f>
        <v/>
      </c>
      <c r="I784" s="11" t="inlineStr">
        <is>
          <t>W</t>
        </is>
      </c>
      <c r="J784" s="10" t="inlineStr">
        <is>
          <t>ANA 4, CGY 3</t>
        </is>
      </c>
      <c r="K784" s="10" t="inlineStr">
        <is>
          <t>DraftKings closing</t>
        </is>
      </c>
    </row>
    <row r="785">
      <c r="A785" s="9" t="n">
        <v>46048</v>
      </c>
      <c r="B785" s="10" t="inlineStr">
        <is>
          <t>UTA @ TBL</t>
        </is>
      </c>
      <c r="C785" s="13" t="n">
        <v>73.89</v>
      </c>
      <c r="D785" s="13" t="n">
        <v>67.25</v>
      </c>
      <c r="E785" s="13">
        <f>IF(OR(C785="",D785=""),"",ABS(C785-D785))</f>
        <v/>
      </c>
      <c r="F785" s="11" t="inlineStr">
        <is>
          <t>UTA</t>
        </is>
      </c>
      <c r="G785" s="12" t="n">
        <v>130</v>
      </c>
      <c r="H785" s="14">
        <f>IF(OR(F785="",G785="",AND(I785&lt;&gt;"W",I785&lt;&gt;"L")),"",IF(I785="W",IF(G785&gt;0,G785/100,1),IF(G785&lt;0,G785/100,-1)))</f>
        <v/>
      </c>
      <c r="I785" s="11" t="inlineStr">
        <is>
          <t>L</t>
        </is>
      </c>
      <c r="J785" s="10" t="inlineStr">
        <is>
          <t>UTA 0, TBL 2</t>
        </is>
      </c>
      <c r="K785" s="10" t="inlineStr">
        <is>
          <t>DraftKings closing</t>
        </is>
      </c>
    </row>
    <row r="786">
      <c r="A786" s="9" t="n">
        <v>46048</v>
      </c>
      <c r="B786" s="10" t="inlineStr">
        <is>
          <t>BOS @ NYR</t>
        </is>
      </c>
      <c r="C786" s="13" t="n">
        <v>70.48</v>
      </c>
      <c r="D786" s="13" t="n">
        <v>62</v>
      </c>
      <c r="E786" s="13">
        <f>IF(OR(C786="",D786=""),"",ABS(C786-D786))</f>
        <v/>
      </c>
      <c r="F786" s="11" t="inlineStr">
        <is>
          <t>BOS</t>
        </is>
      </c>
      <c r="G786" s="12" t="n">
        <v>-122</v>
      </c>
      <c r="H786" s="14">
        <f>IF(OR(F786="",G786="",AND(I786&lt;&gt;"W",I786&lt;&gt;"L")),"",IF(I786="W",IF(G786&gt;0,G786/100,1),IF(G786&lt;0,G786/100,-1)))</f>
        <v/>
      </c>
      <c r="I786" s="11" t="inlineStr">
        <is>
          <t>L</t>
        </is>
      </c>
      <c r="J786" s="10" t="inlineStr">
        <is>
          <t>BOS 3, NYR 4</t>
        </is>
      </c>
      <c r="K786" s="10" t="inlineStr">
        <is>
          <t>DraftKings closing</t>
        </is>
      </c>
    </row>
    <row r="787">
      <c r="A787" s="9" t="n">
        <v>46048</v>
      </c>
      <c r="B787" s="10" t="inlineStr">
        <is>
          <t>NYI @ PHI</t>
        </is>
      </c>
      <c r="C787" s="13" t="n">
        <v>57.39</v>
      </c>
      <c r="D787" s="13" t="n">
        <v>72.43000000000001</v>
      </c>
      <c r="E787" s="13">
        <f>IF(OR(C787="",D787=""),"",ABS(C787-D787))</f>
        <v/>
      </c>
      <c r="F787" s="11" t="inlineStr">
        <is>
          <t>PHI</t>
        </is>
      </c>
      <c r="G787" s="12" t="n">
        <v>-115</v>
      </c>
      <c r="H787" s="14">
        <f>IF(OR(F787="",G787="",AND(I787&lt;&gt;"W",I787&lt;&gt;"L")),"",IF(I787="W",IF(G787&gt;0,G787/100,1),IF(G787&lt;0,G787/100,-1)))</f>
        <v/>
      </c>
      <c r="I787" s="11" t="inlineStr">
        <is>
          <t>L</t>
        </is>
      </c>
      <c r="J787" s="10" t="inlineStr">
        <is>
          <t>NYI 4, PHI 0</t>
        </is>
      </c>
      <c r="K787" s="10" t="inlineStr">
        <is>
          <t>DraftKings closing</t>
        </is>
      </c>
    </row>
    <row r="788">
      <c r="A788" s="9" t="n">
        <v>46048</v>
      </c>
      <c r="B788" s="10" t="inlineStr">
        <is>
          <t>ANA @ EDM</t>
        </is>
      </c>
      <c r="C788" s="13" t="n">
        <v>68.84</v>
      </c>
      <c r="D788" s="13" t="n">
        <v>75.31999999999999</v>
      </c>
      <c r="E788" s="13">
        <f>IF(OR(C788="",D788=""),"",ABS(C788-D788))</f>
        <v/>
      </c>
      <c r="F788" s="11" t="inlineStr">
        <is>
          <t>EDM</t>
        </is>
      </c>
      <c r="G788" s="12" t="n">
        <v>-270</v>
      </c>
      <c r="H788" s="14">
        <f>IF(OR(F788="",G788="",AND(I788&lt;&gt;"W",I788&lt;&gt;"L")),"",IF(I788="W",IF(G788&gt;0,G788/100,1),IF(G788&lt;0,G788/100,-1)))</f>
        <v/>
      </c>
      <c r="I788" s="11" t="inlineStr">
        <is>
          <t>W</t>
        </is>
      </c>
      <c r="J788" s="10" t="inlineStr">
        <is>
          <t>ANA 4, EDM 7</t>
        </is>
      </c>
      <c r="K788" s="10" t="inlineStr">
        <is>
          <t>DraftKings closing</t>
        </is>
      </c>
    </row>
    <row r="789">
      <c r="A789" s="9" t="n">
        <v>46049</v>
      </c>
      <c r="B789" s="10" t="inlineStr">
        <is>
          <t>NSH @ BOS</t>
        </is>
      </c>
      <c r="C789" s="13" t="n">
        <v>66.11</v>
      </c>
      <c r="D789" s="13" t="n">
        <v>68.54000000000001</v>
      </c>
      <c r="E789" s="13">
        <f>IF(OR(C789="",D789=""),"",ABS(C789-D789))</f>
        <v/>
      </c>
      <c r="F789" s="11" t="inlineStr">
        <is>
          <t>BOS</t>
        </is>
      </c>
      <c r="G789" s="12" t="n">
        <v>-115</v>
      </c>
      <c r="H789" s="14">
        <f>IF(OR(F789="",G789="",AND(I789&lt;&gt;"W",I789&lt;&gt;"L")),"",IF(I789="W",IF(G789&gt;0,G789/100,1),IF(G789&lt;0,G789/100,-1)))</f>
        <v/>
      </c>
      <c r="I789" s="11" t="inlineStr">
        <is>
          <t>W</t>
        </is>
      </c>
      <c r="J789" s="10" t="inlineStr">
        <is>
          <t>NSH 2, BOS 3</t>
        </is>
      </c>
      <c r="K789" s="10" t="inlineStr">
        <is>
          <t>DraftKings closing</t>
        </is>
      </c>
    </row>
    <row r="790">
      <c r="A790" s="9" t="n">
        <v>46049</v>
      </c>
      <c r="B790" s="10" t="inlineStr">
        <is>
          <t>BUF @ TOR</t>
        </is>
      </c>
      <c r="C790" s="13" t="n">
        <v>82.61</v>
      </c>
      <c r="D790" s="13" t="n">
        <v>60.54</v>
      </c>
      <c r="E790" s="13">
        <f>IF(OR(C790="",D790=""),"",ABS(C790-D790))</f>
        <v/>
      </c>
      <c r="F790" s="11" t="inlineStr">
        <is>
          <t>BUF</t>
        </is>
      </c>
      <c r="G790" s="12" t="n">
        <v>-102</v>
      </c>
      <c r="H790" s="14">
        <f>IF(OR(F790="",G790="",AND(I790&lt;&gt;"W",I790&lt;&gt;"L")),"",IF(I790="W",IF(G790&gt;0,G790/100,1),IF(G790&lt;0,G790/100,-1)))</f>
        <v/>
      </c>
      <c r="I790" s="11" t="inlineStr">
        <is>
          <t>W</t>
        </is>
      </c>
      <c r="J790" s="10" t="inlineStr">
        <is>
          <t>BUF 7, TOR 4</t>
        </is>
      </c>
      <c r="K790" s="10" t="inlineStr">
        <is>
          <t>DraftKings closing</t>
        </is>
      </c>
    </row>
    <row r="791">
      <c r="A791" s="9" t="n">
        <v>46049</v>
      </c>
      <c r="B791" s="10" t="inlineStr">
        <is>
          <t>VGK @ MTL</t>
        </is>
      </c>
      <c r="C791" s="13" t="n">
        <v>41.38</v>
      </c>
      <c r="D791" s="13" t="n">
        <v>69.52</v>
      </c>
      <c r="E791" s="13">
        <f>IF(OR(C791="",D791=""),"",ABS(C791-D791))</f>
        <v/>
      </c>
      <c r="F791" s="11" t="inlineStr">
        <is>
          <t>MTL</t>
        </is>
      </c>
      <c r="G791" s="12" t="n">
        <v>100</v>
      </c>
      <c r="H791" s="14">
        <f>IF(OR(F791="",G791="",AND(I791&lt;&gt;"W",I791&lt;&gt;"L")),"",IF(I791="W",IF(G791&gt;0,G791/100,1),IF(G791&lt;0,G791/100,-1)))</f>
        <v/>
      </c>
      <c r="I791" s="11" t="inlineStr">
        <is>
          <t>W</t>
        </is>
      </c>
      <c r="J791" s="10" t="inlineStr">
        <is>
          <t>VGK 2, MTL 3</t>
        </is>
      </c>
      <c r="K791" s="10" t="inlineStr">
        <is>
          <t>DraftKings closing</t>
        </is>
      </c>
    </row>
    <row r="792">
      <c r="A792" s="9" t="n">
        <v>46049</v>
      </c>
      <c r="B792" s="10" t="inlineStr">
        <is>
          <t>LAK @ DET</t>
        </is>
      </c>
      <c r="C792" s="13" t="n">
        <v>71.48999999999999</v>
      </c>
      <c r="D792" s="13" t="n">
        <v>80.59</v>
      </c>
      <c r="E792" s="13">
        <f>IF(OR(C792="",D792=""),"",ABS(C792-D792))</f>
        <v/>
      </c>
      <c r="F792" s="11" t="inlineStr">
        <is>
          <t>DET</t>
        </is>
      </c>
      <c r="G792" s="12" t="n">
        <v>-125</v>
      </c>
      <c r="H792" s="14">
        <f>IF(OR(F792="",G792="",AND(I792&lt;&gt;"W",I792&lt;&gt;"L")),"",IF(I792="W",IF(G792&gt;0,G792/100,1),IF(G792&lt;0,G792/100,-1)))</f>
        <v/>
      </c>
      <c r="I792" s="11" t="inlineStr">
        <is>
          <t>L</t>
        </is>
      </c>
      <c r="J792" s="10" t="inlineStr">
        <is>
          <t>LAK 3, DET 1</t>
        </is>
      </c>
      <c r="K792" s="10" t="inlineStr">
        <is>
          <t>DraftKings closing</t>
        </is>
      </c>
    </row>
    <row r="793">
      <c r="A793" s="9" t="n">
        <v>46049</v>
      </c>
      <c r="B793" s="10" t="inlineStr">
        <is>
          <t>UTA @ FLA</t>
        </is>
      </c>
      <c r="C793" s="13" t="n">
        <v>70.47</v>
      </c>
      <c r="D793" s="13" t="n">
        <v>82.7</v>
      </c>
      <c r="E793" s="13">
        <f>IF(OR(C793="",D793=""),"",ABS(C793-D793))</f>
        <v/>
      </c>
      <c r="F793" s="11" t="inlineStr">
        <is>
          <t>FLA</t>
        </is>
      </c>
      <c r="G793" s="12" t="n">
        <v>-166</v>
      </c>
      <c r="H793" s="14">
        <f>IF(OR(F793="",G793="",AND(I793&lt;&gt;"W",I793&lt;&gt;"L")),"",IF(I793="W",IF(G793&gt;0,G793/100,1),IF(G793&lt;0,G793/100,-1)))</f>
        <v/>
      </c>
      <c r="I793" s="11" t="inlineStr">
        <is>
          <t>L</t>
        </is>
      </c>
      <c r="J793" s="10" t="inlineStr">
        <is>
          <t>UTA 4, FLA 3</t>
        </is>
      </c>
      <c r="K793" s="10" t="inlineStr">
        <is>
          <t>DraftKings closing</t>
        </is>
      </c>
    </row>
    <row r="794">
      <c r="A794" s="9" t="n">
        <v>46049</v>
      </c>
      <c r="B794" s="10" t="inlineStr">
        <is>
          <t>WPG @ NJD</t>
        </is>
      </c>
      <c r="C794" s="13" t="n">
        <v>59.41</v>
      </c>
      <c r="D794" s="13" t="n">
        <v>75.75</v>
      </c>
      <c r="E794" s="13">
        <f>IF(OR(C794="",D794=""),"",ABS(C794-D794))</f>
        <v/>
      </c>
      <c r="F794" s="11" t="inlineStr">
        <is>
          <t>NJD</t>
        </is>
      </c>
      <c r="G794" s="12" t="n">
        <v>-130</v>
      </c>
      <c r="H794" s="14">
        <f>IF(OR(F794="",G794="",AND(I794&lt;&gt;"W",I794&lt;&gt;"L")),"",IF(I794="W",IF(G794&gt;0,G794/100,1),IF(G794&lt;0,G794/100,-1)))</f>
        <v/>
      </c>
      <c r="I794" s="11" t="inlineStr">
        <is>
          <t>L</t>
        </is>
      </c>
      <c r="J794" s="10" t="inlineStr">
        <is>
          <t>WPG 4, NJD 3</t>
        </is>
      </c>
      <c r="K794" s="10" t="inlineStr">
        <is>
          <t>DraftKings closing</t>
        </is>
      </c>
    </row>
    <row r="795">
      <c r="A795" s="9" t="n">
        <v>46049</v>
      </c>
      <c r="B795" s="10" t="inlineStr">
        <is>
          <t>DAL @ STL</t>
        </is>
      </c>
      <c r="C795" s="13" t="n">
        <v>70.56</v>
      </c>
      <c r="D795" s="13" t="n">
        <v>68.51000000000001</v>
      </c>
      <c r="E795" s="13">
        <f>IF(OR(C795="",D795=""),"",ABS(C795-D795))</f>
        <v/>
      </c>
      <c r="F795" s="11" t="inlineStr">
        <is>
          <t>DAL</t>
        </is>
      </c>
      <c r="G795" s="12" t="n">
        <v>-162</v>
      </c>
      <c r="H795" s="14">
        <f>IF(OR(F795="",G795="",AND(I795&lt;&gt;"W",I795&lt;&gt;"L")),"",IF(I795="W",IF(G795&gt;0,G795/100,1),IF(G795&lt;0,G795/100,-1)))</f>
        <v/>
      </c>
      <c r="I795" s="11" t="inlineStr">
        <is>
          <t>W</t>
        </is>
      </c>
      <c r="J795" s="10" t="inlineStr">
        <is>
          <t>DAL 4, STL 3</t>
        </is>
      </c>
      <c r="K795" s="10" t="inlineStr">
        <is>
          <t>DraftKings closing</t>
        </is>
      </c>
    </row>
    <row r="796">
      <c r="A796" s="9" t="n">
        <v>46049</v>
      </c>
      <c r="B796" s="10" t="inlineStr">
        <is>
          <t>CHI @ MIN</t>
        </is>
      </c>
      <c r="C796" s="13" t="n">
        <v>57.3</v>
      </c>
      <c r="D796" s="13" t="n">
        <v>64.19</v>
      </c>
      <c r="E796" s="13">
        <f>IF(OR(C796="",D796=""),"",ABS(C796-D796))</f>
        <v/>
      </c>
      <c r="F796" s="11" t="inlineStr">
        <is>
          <t>MIN</t>
        </is>
      </c>
      <c r="G796" s="12" t="n">
        <v>-198</v>
      </c>
      <c r="H796" s="14">
        <f>IF(OR(F796="",G796="",AND(I796&lt;&gt;"W",I796&lt;&gt;"L")),"",IF(I796="W",IF(G796&gt;0,G796/100,1),IF(G796&lt;0,G796/100,-1)))</f>
        <v/>
      </c>
      <c r="I796" s="11" t="inlineStr">
        <is>
          <t>W</t>
        </is>
      </c>
      <c r="J796" s="10" t="inlineStr">
        <is>
          <t>CHI 3, MIN 4</t>
        </is>
      </c>
      <c r="K796" s="10" t="inlineStr">
        <is>
          <t>DraftKings closing</t>
        </is>
      </c>
    </row>
    <row r="797">
      <c r="A797" s="9" t="n">
        <v>46049</v>
      </c>
      <c r="B797" s="10" t="inlineStr">
        <is>
          <t>SJS @ VAN</t>
        </is>
      </c>
      <c r="C797" s="13" t="n">
        <v>78</v>
      </c>
      <c r="D797" s="13" t="n">
        <v>65.20999999999999</v>
      </c>
      <c r="E797" s="13">
        <f>IF(OR(C797="",D797=""),"",ABS(C797-D797))</f>
        <v/>
      </c>
      <c r="F797" s="11" t="inlineStr">
        <is>
          <t>SJS</t>
        </is>
      </c>
      <c r="G797" s="12" t="n">
        <v>-135</v>
      </c>
      <c r="H797" s="14">
        <f>IF(OR(F797="",G797="",AND(I797&lt;&gt;"W",I797&lt;&gt;"L")),"",IF(I797="W",IF(G797&gt;0,G797/100,1),IF(G797&lt;0,G797/100,-1)))</f>
        <v/>
      </c>
      <c r="I797" s="11" t="inlineStr">
        <is>
          <t>W</t>
        </is>
      </c>
      <c r="J797" s="10" t="inlineStr">
        <is>
          <t>SJS 5, VAN 2</t>
        </is>
      </c>
      <c r="K797" s="10" t="inlineStr">
        <is>
          <t>DraftKings closing</t>
        </is>
      </c>
    </row>
    <row r="798">
      <c r="A798" s="9" t="n">
        <v>46049</v>
      </c>
      <c r="B798" s="10" t="inlineStr">
        <is>
          <t>WSH @ SEA</t>
        </is>
      </c>
      <c r="C798" s="13" t="n">
        <v>64.68000000000001</v>
      </c>
      <c r="D798" s="13" t="n">
        <v>64.25</v>
      </c>
      <c r="E798" s="13">
        <f>IF(OR(C798="",D798=""),"",ABS(C798-D798))</f>
        <v/>
      </c>
      <c r="F798" s="11" t="inlineStr">
        <is>
          <t>WSH</t>
        </is>
      </c>
      <c r="G798" s="12" t="n">
        <v>-118</v>
      </c>
      <c r="H798" s="14">
        <f>IF(OR(F798="",G798="",AND(I798&lt;&gt;"W",I798&lt;&gt;"L")),"",IF(I798="W",IF(G798&gt;0,G798/100,1),IF(G798&lt;0,G798/100,-1)))</f>
        <v/>
      </c>
      <c r="I798" s="11" t="inlineStr">
        <is>
          <t>L</t>
        </is>
      </c>
      <c r="J798" s="10" t="inlineStr">
        <is>
          <t>WSH 1, SEA 5</t>
        </is>
      </c>
      <c r="K798" s="10" t="inlineStr">
        <is>
          <t>DraftKings closing</t>
        </is>
      </c>
    </row>
    <row r="799">
      <c r="A799" s="9" t="n">
        <v>46050</v>
      </c>
      <c r="B799" s="10" t="inlineStr">
        <is>
          <t>NYR @ NYI</t>
        </is>
      </c>
      <c r="C799" s="13" t="n">
        <v>71.45999999999999</v>
      </c>
      <c r="D799" s="13" t="n">
        <v>81.79000000000001</v>
      </c>
      <c r="E799" s="13">
        <f>IF(OR(C799="",D799=""),"",ABS(C799-D799))</f>
        <v/>
      </c>
      <c r="F799" s="11" t="inlineStr">
        <is>
          <t>NYI</t>
        </is>
      </c>
      <c r="G799" s="12" t="n">
        <v>-148</v>
      </c>
      <c r="H799" s="14">
        <f>IF(OR(F799="",G799="",AND(I799&lt;&gt;"W",I799&lt;&gt;"L")),"",IF(I799="W",IF(G799&gt;0,G799/100,1),IF(G799&lt;0,G799/100,-1)))</f>
        <v/>
      </c>
      <c r="I799" s="11" t="inlineStr">
        <is>
          <t>W</t>
        </is>
      </c>
      <c r="J799" s="10" t="inlineStr">
        <is>
          <t>NYR 2, NYI 5</t>
        </is>
      </c>
      <c r="K799" s="10" t="inlineStr">
        <is>
          <t>DraftKings closing</t>
        </is>
      </c>
    </row>
    <row r="800">
      <c r="A800" s="9" t="n">
        <v>46050</v>
      </c>
      <c r="B800" s="10" t="inlineStr">
        <is>
          <t>PHI @ CBJ</t>
        </is>
      </c>
      <c r="C800" s="13" t="n">
        <v>58.21</v>
      </c>
      <c r="D800" s="13" t="n">
        <v>72.75</v>
      </c>
      <c r="E800" s="13">
        <f>IF(OR(C800="",D800=""),"",ABS(C800-D800))</f>
        <v/>
      </c>
      <c r="F800" s="11" t="inlineStr">
        <is>
          <t>CBJ</t>
        </is>
      </c>
      <c r="G800" s="12" t="n">
        <v>-115</v>
      </c>
      <c r="H800" s="14">
        <f>IF(OR(F800="",G800="",AND(I800&lt;&gt;"W",I800&lt;&gt;"L")),"",IF(I800="W",IF(G800&gt;0,G800/100,1),IF(G800&lt;0,G800/100,-1)))</f>
        <v/>
      </c>
      <c r="I800" s="11" t="inlineStr">
        <is>
          <t>W</t>
        </is>
      </c>
      <c r="J800" s="10" t="inlineStr">
        <is>
          <t>PHI 3, CBJ 5</t>
        </is>
      </c>
      <c r="K800" s="10" t="inlineStr">
        <is>
          <t>DraftKings closing</t>
        </is>
      </c>
    </row>
    <row r="801">
      <c r="A801" s="9" t="n">
        <v>46050</v>
      </c>
      <c r="B801" s="10" t="inlineStr">
        <is>
          <t>COL @ OTT</t>
        </is>
      </c>
      <c r="C801" s="13" t="n">
        <v>79.45999999999999</v>
      </c>
      <c r="D801" s="13" t="n">
        <v>98.62</v>
      </c>
      <c r="E801" s="13">
        <f>IF(OR(C801="",D801=""),"",ABS(C801-D801))</f>
        <v/>
      </c>
      <c r="F801" s="11" t="inlineStr">
        <is>
          <t>OTT</t>
        </is>
      </c>
      <c r="G801" s="12" t="n">
        <v>130</v>
      </c>
      <c r="H801" s="14">
        <f>IF(OR(F801="",G801="",AND(I801&lt;&gt;"W",I801&lt;&gt;"L")),"",IF(I801="W",IF(G801&gt;0,G801/100,1),IF(G801&lt;0,G801/100,-1)))</f>
        <v/>
      </c>
      <c r="I801" s="11" t="inlineStr">
        <is>
          <t>W</t>
        </is>
      </c>
      <c r="J801" s="10" t="inlineStr">
        <is>
          <t>COL 2, OTT 5</t>
        </is>
      </c>
      <c r="K801" s="10" t="inlineStr">
        <is>
          <t>DraftKings closing</t>
        </is>
      </c>
    </row>
    <row r="802">
      <c r="A802" s="9" t="n">
        <v>46051</v>
      </c>
      <c r="B802" s="10" t="inlineStr">
        <is>
          <t>PHI @ BOS</t>
        </is>
      </c>
      <c r="C802" s="13" t="n">
        <v>62.18</v>
      </c>
      <c r="D802" s="13" t="n">
        <v>68.3</v>
      </c>
      <c r="E802" s="13">
        <f>IF(OR(C802="",D802=""),"",ABS(C802-D802))</f>
        <v/>
      </c>
      <c r="F802" s="11" t="inlineStr">
        <is>
          <t>BOS</t>
        </is>
      </c>
      <c r="G802" s="12" t="n">
        <v>-162</v>
      </c>
      <c r="H802" s="14">
        <f>IF(OR(F802="",G802="",AND(I802&lt;&gt;"W",I802&lt;&gt;"L")),"",IF(I802="W",IF(G802&gt;0,G802/100,1),IF(G802&lt;0,G802/100,-1)))</f>
        <v/>
      </c>
      <c r="I802" s="11" t="inlineStr">
        <is>
          <t>W</t>
        </is>
      </c>
      <c r="J802" s="10" t="inlineStr">
        <is>
          <t>PHI 3, BOS 6</t>
        </is>
      </c>
      <c r="K802" s="10" t="inlineStr">
        <is>
          <t>DraftKings closing</t>
        </is>
      </c>
    </row>
    <row r="803">
      <c r="A803" s="9" t="n">
        <v>46051</v>
      </c>
      <c r="B803" s="10" t="inlineStr">
        <is>
          <t>LAK @ BUF</t>
        </is>
      </c>
      <c r="C803" s="13" t="n">
        <v>70.65000000000001</v>
      </c>
      <c r="D803" s="13" t="n">
        <v>79.03</v>
      </c>
      <c r="E803" s="13">
        <f>IF(OR(C803="",D803=""),"",ABS(C803-D803))</f>
        <v/>
      </c>
      <c r="F803" s="11" t="inlineStr">
        <is>
          <t>BUF</t>
        </is>
      </c>
      <c r="G803" s="12" t="n">
        <v>-125</v>
      </c>
      <c r="H803" s="14">
        <f>IF(OR(F803="",G803="",AND(I803&lt;&gt;"W",I803&lt;&gt;"L")),"",IF(I803="W",IF(G803&gt;0,G803/100,1),IF(G803&lt;0,G803/100,-1)))</f>
        <v/>
      </c>
      <c r="I803" s="11" t="inlineStr">
        <is>
          <t>W</t>
        </is>
      </c>
      <c r="J803" s="10" t="inlineStr">
        <is>
          <t>LAK 1, BUF 4</t>
        </is>
      </c>
      <c r="K803" s="10" t="inlineStr">
        <is>
          <t>DraftKings closing</t>
        </is>
      </c>
    </row>
    <row r="804">
      <c r="A804" s="9" t="n">
        <v>46051</v>
      </c>
      <c r="B804" s="10" t="inlineStr">
        <is>
          <t>COL @ MTL</t>
        </is>
      </c>
      <c r="C804" s="13" t="n">
        <v>68.52</v>
      </c>
      <c r="D804" s="13" t="n">
        <v>71.34</v>
      </c>
      <c r="E804" s="13">
        <f>IF(OR(C804="",D804=""),"",ABS(C804-D804))</f>
        <v/>
      </c>
      <c r="F804" s="11" t="inlineStr">
        <is>
          <t>MTL</t>
        </is>
      </c>
      <c r="G804" s="12" t="n">
        <v>110</v>
      </c>
      <c r="H804" s="14">
        <f>IF(OR(F804="",G804="",AND(I804&lt;&gt;"W",I804&lt;&gt;"L")),"",IF(I804="W",IF(G804&gt;0,G804/100,1),IF(G804&lt;0,G804/100,-1)))</f>
        <v/>
      </c>
      <c r="I804" s="11" t="inlineStr">
        <is>
          <t>W</t>
        </is>
      </c>
      <c r="J804" s="10" t="inlineStr">
        <is>
          <t>COL 3, MTL 7</t>
        </is>
      </c>
      <c r="K804" s="10" t="inlineStr">
        <is>
          <t>DraftKings closing</t>
        </is>
      </c>
    </row>
    <row r="805">
      <c r="A805" s="9" t="n">
        <v>46051</v>
      </c>
      <c r="B805" s="10" t="inlineStr">
        <is>
          <t>WPG @ TBL</t>
        </is>
      </c>
      <c r="C805" s="13" t="n">
        <v>71.51000000000001</v>
      </c>
      <c r="D805" s="13" t="n">
        <v>69.53</v>
      </c>
      <c r="E805" s="13">
        <f>IF(OR(C805="",D805=""),"",ABS(C805-D805))</f>
        <v/>
      </c>
      <c r="F805" s="11" t="inlineStr">
        <is>
          <t>WPG</t>
        </is>
      </c>
      <c r="G805" s="12" t="n">
        <v>154</v>
      </c>
      <c r="H805" s="14">
        <f>IF(OR(F805="",G805="",AND(I805&lt;&gt;"W",I805&lt;&gt;"L")),"",IF(I805="W",IF(G805&gt;0,G805/100,1),IF(G805&lt;0,G805/100,-1)))</f>
        <v/>
      </c>
      <c r="I805" s="11" t="inlineStr">
        <is>
          <t>L</t>
        </is>
      </c>
      <c r="J805" s="10" t="inlineStr">
        <is>
          <t>WPG 1, TBL 4</t>
        </is>
      </c>
      <c r="K805" s="10" t="inlineStr">
        <is>
          <t>DraftKings closing</t>
        </is>
      </c>
    </row>
    <row r="806">
      <c r="A806" s="9" t="n">
        <v>46051</v>
      </c>
      <c r="B806" s="10" t="inlineStr">
        <is>
          <t>NSH @ NJD</t>
        </is>
      </c>
      <c r="C806" s="13" t="n">
        <v>71.7</v>
      </c>
      <c r="D806" s="13" t="n">
        <v>68.48999999999999</v>
      </c>
      <c r="E806" s="13">
        <f>IF(OR(C806="",D806=""),"",ABS(C806-D806))</f>
        <v/>
      </c>
      <c r="F806" s="11" t="inlineStr">
        <is>
          <t>NSH</t>
        </is>
      </c>
      <c r="G806" s="12" t="n">
        <v>105</v>
      </c>
      <c r="H806" s="14">
        <f>IF(OR(F806="",G806="",AND(I806&lt;&gt;"W",I806&lt;&gt;"L")),"",IF(I806="W",IF(G806&gt;0,G806/100,1),IF(G806&lt;0,G806/100,-1)))</f>
        <v/>
      </c>
      <c r="I806" s="11" t="inlineStr">
        <is>
          <t>L</t>
        </is>
      </c>
      <c r="J806" s="10" t="inlineStr">
        <is>
          <t>NSH 2, NJD 3</t>
        </is>
      </c>
      <c r="K806" s="10" t="inlineStr">
        <is>
          <t>DraftKings closing</t>
        </is>
      </c>
    </row>
    <row r="807">
      <c r="A807" s="9" t="n">
        <v>46051</v>
      </c>
      <c r="B807" s="10" t="inlineStr">
        <is>
          <t>NYI @ NYR</t>
        </is>
      </c>
      <c r="C807" s="13" t="n">
        <v>85.40000000000001</v>
      </c>
      <c r="D807" s="13" t="n">
        <v>54.6</v>
      </c>
      <c r="E807" s="13">
        <f>IF(OR(C807="",D807=""),"",ABS(C807-D807))</f>
        <v/>
      </c>
      <c r="F807" s="11" t="inlineStr">
        <is>
          <t>NYI</t>
        </is>
      </c>
      <c r="G807" s="12" t="n">
        <v>-142</v>
      </c>
      <c r="H807" s="14">
        <f>IF(OR(F807="",G807="",AND(I807&lt;&gt;"W",I807&lt;&gt;"L")),"",IF(I807="W",IF(G807&gt;0,G807/100,1),IF(G807&lt;0,G807/100,-1)))</f>
        <v/>
      </c>
      <c r="I807" s="11" t="inlineStr">
        <is>
          <t>W</t>
        </is>
      </c>
      <c r="J807" s="10" t="inlineStr">
        <is>
          <t>NYI 2, NYR 1</t>
        </is>
      </c>
      <c r="K807" s="10" t="inlineStr">
        <is>
          <t>DraftKings closing</t>
        </is>
      </c>
    </row>
    <row r="808">
      <c r="A808" s="9" t="n">
        <v>46051</v>
      </c>
      <c r="B808" s="10" t="inlineStr">
        <is>
          <t>CHI @ PIT</t>
        </is>
      </c>
      <c r="C808" s="13" t="n">
        <v>77.09999999999999</v>
      </c>
      <c r="D808" s="13" t="n">
        <v>74.79000000000001</v>
      </c>
      <c r="E808" s="13">
        <f>IF(OR(C808="",D808=""),"",ABS(C808-D808))</f>
        <v/>
      </c>
      <c r="F808" s="11" t="inlineStr">
        <is>
          <t>CHI</t>
        </is>
      </c>
      <c r="G808" s="12" t="n">
        <v>154</v>
      </c>
      <c r="H808" s="14">
        <f>IF(OR(F808="",G808="",AND(I808&lt;&gt;"W",I808&lt;&gt;"L")),"",IF(I808="W",IF(G808&gt;0,G808/100,1),IF(G808&lt;0,G808/100,-1)))</f>
        <v/>
      </c>
      <c r="I808" s="11" t="inlineStr">
        <is>
          <t>L</t>
        </is>
      </c>
      <c r="J808" s="10" t="inlineStr">
        <is>
          <t>CHI 2, PIT 6</t>
        </is>
      </c>
      <c r="K808" s="10" t="inlineStr">
        <is>
          <t>DraftKings closing</t>
        </is>
      </c>
    </row>
    <row r="809">
      <c r="A809" s="9" t="n">
        <v>46051</v>
      </c>
      <c r="B809" s="10" t="inlineStr">
        <is>
          <t>UTA @ CAR</t>
        </is>
      </c>
      <c r="C809" s="13" t="n">
        <v>65.95999999999999</v>
      </c>
      <c r="D809" s="13" t="n">
        <v>76.55</v>
      </c>
      <c r="E809" s="13">
        <f>IF(OR(C809="",D809=""),"",ABS(C809-D809))</f>
        <v/>
      </c>
      <c r="F809" s="11" t="inlineStr">
        <is>
          <t>CAR</t>
        </is>
      </c>
      <c r="G809" s="12" t="n">
        <v>-192</v>
      </c>
      <c r="H809" s="14">
        <f>IF(OR(F809="",G809="",AND(I809&lt;&gt;"W",I809&lt;&gt;"L")),"",IF(I809="W",IF(G809&gt;0,G809/100,1),IF(G809&lt;0,G809/100,-1)))</f>
        <v/>
      </c>
      <c r="I809" s="11" t="inlineStr">
        <is>
          <t>W</t>
        </is>
      </c>
      <c r="J809" s="10" t="inlineStr">
        <is>
          <t>UTA 4, CAR 5</t>
        </is>
      </c>
      <c r="K809" s="10" t="inlineStr">
        <is>
          <t>DraftKings closing</t>
        </is>
      </c>
    </row>
    <row r="810">
      <c r="A810" s="9" t="n">
        <v>46051</v>
      </c>
      <c r="B810" s="10" t="inlineStr">
        <is>
          <t>WSH @ DET</t>
        </is>
      </c>
      <c r="C810" s="13" t="n">
        <v>51.08</v>
      </c>
      <c r="D810" s="13" t="n">
        <v>69.34999999999999</v>
      </c>
      <c r="E810" s="13">
        <f>IF(OR(C810="",D810=""),"",ABS(C810-D810))</f>
        <v/>
      </c>
      <c r="F810" s="11" t="inlineStr">
        <is>
          <t>DET</t>
        </is>
      </c>
      <c r="G810" s="12" t="n">
        <v>-130</v>
      </c>
      <c r="H810" s="14">
        <f>IF(OR(F810="",G810="",AND(I810&lt;&gt;"W",I810&lt;&gt;"L")),"",IF(I810="W",IF(G810&gt;0,G810/100,1),IF(G810&lt;0,G810/100,-1)))</f>
        <v/>
      </c>
      <c r="I810" s="11" t="inlineStr">
        <is>
          <t>L</t>
        </is>
      </c>
      <c r="J810" s="10" t="inlineStr">
        <is>
          <t>WSH 4, DET 3</t>
        </is>
      </c>
      <c r="K810" s="10" t="inlineStr">
        <is>
          <t>DraftKings closing</t>
        </is>
      </c>
    </row>
    <row r="811">
      <c r="A811" s="9" t="n">
        <v>46051</v>
      </c>
      <c r="B811" s="10" t="inlineStr">
        <is>
          <t>FLA @ STL</t>
        </is>
      </c>
      <c r="C811" s="13" t="n">
        <v>74.04000000000001</v>
      </c>
      <c r="D811" s="13" t="n">
        <v>65.83</v>
      </c>
      <c r="E811" s="13">
        <f>IF(OR(C811="",D811=""),"",ABS(C811-D811))</f>
        <v/>
      </c>
      <c r="F811" s="11" t="inlineStr">
        <is>
          <t>FLA</t>
        </is>
      </c>
      <c r="G811" s="12" t="n">
        <v>-155</v>
      </c>
      <c r="H811" s="14">
        <f>IF(OR(F811="",G811="",AND(I811&lt;&gt;"W",I811&lt;&gt;"L")),"",IF(I811="W",IF(G811&gt;0,G811/100,1),IF(G811&lt;0,G811/100,-1)))</f>
        <v/>
      </c>
      <c r="I811" s="11" t="inlineStr">
        <is>
          <t>L</t>
        </is>
      </c>
      <c r="J811" s="10" t="inlineStr">
        <is>
          <t>FLA 4, STL 5</t>
        </is>
      </c>
      <c r="K811" s="10" t="inlineStr">
        <is>
          <t>DraftKings closing</t>
        </is>
      </c>
    </row>
    <row r="812">
      <c r="A812" s="9" t="n">
        <v>46051</v>
      </c>
      <c r="B812" s="10" t="inlineStr">
        <is>
          <t>CGY @ MIN</t>
        </is>
      </c>
      <c r="C812" s="13" t="n">
        <v>71.16</v>
      </c>
      <c r="D812" s="13" t="n">
        <v>62.9</v>
      </c>
      <c r="E812" s="13">
        <f>IF(OR(C812="",D812=""),"",ABS(C812-D812))</f>
        <v/>
      </c>
      <c r="F812" s="11" t="inlineStr">
        <is>
          <t>CGY</t>
        </is>
      </c>
      <c r="G812" s="12" t="n">
        <v>154</v>
      </c>
      <c r="H812" s="14">
        <f>IF(OR(F812="",G812="",AND(I812&lt;&gt;"W",I812&lt;&gt;"L")),"",IF(I812="W",IF(G812&gt;0,G812/100,1),IF(G812&lt;0,G812/100,-1)))</f>
        <v/>
      </c>
      <c r="I812" s="11" t="inlineStr">
        <is>
          <t>L</t>
        </is>
      </c>
      <c r="J812" s="10" t="inlineStr">
        <is>
          <t>CGY 1, MIN 4</t>
        </is>
      </c>
      <c r="K812" s="10" t="inlineStr">
        <is>
          <t>DraftKings closing</t>
        </is>
      </c>
    </row>
    <row r="813">
      <c r="A813" s="9" t="n">
        <v>46051</v>
      </c>
      <c r="B813" s="10" t="inlineStr">
        <is>
          <t>SJS @ EDM</t>
        </is>
      </c>
      <c r="C813" s="13" t="n">
        <v>90.44</v>
      </c>
      <c r="D813" s="13" t="n">
        <v>69.02</v>
      </c>
      <c r="E813" s="13">
        <f>IF(OR(C813="",D813=""),"",ABS(C813-D813))</f>
        <v/>
      </c>
      <c r="F813" s="11" t="inlineStr">
        <is>
          <t>SJS</t>
        </is>
      </c>
      <c r="G813" s="12" t="n">
        <v>160</v>
      </c>
      <c r="H813" s="14">
        <f>IF(OR(F813="",G813="",AND(I813&lt;&gt;"W",I813&lt;&gt;"L")),"",IF(I813="W",IF(G813&gt;0,G813/100,1),IF(G813&lt;0,G813/100,-1)))</f>
        <v/>
      </c>
      <c r="I813" s="11" t="inlineStr">
        <is>
          <t>L</t>
        </is>
      </c>
      <c r="J813" s="10" t="inlineStr">
        <is>
          <t>SJS 3, EDM 4</t>
        </is>
      </c>
      <c r="K813" s="10" t="inlineStr">
        <is>
          <t>DraftKings closing</t>
        </is>
      </c>
    </row>
    <row r="814">
      <c r="A814" s="9" t="n">
        <v>46051</v>
      </c>
      <c r="B814" s="10" t="inlineStr">
        <is>
          <t>ANA @ VAN</t>
        </is>
      </c>
      <c r="C814" s="13" t="n">
        <v>70.98</v>
      </c>
      <c r="D814" s="13" t="n">
        <v>49.56</v>
      </c>
      <c r="E814" s="13">
        <f>IF(OR(C814="",D814=""),"",ABS(C814-D814))</f>
        <v/>
      </c>
      <c r="F814" s="11" t="inlineStr">
        <is>
          <t>ANA</t>
        </is>
      </c>
      <c r="G814" s="12" t="n">
        <v>-155</v>
      </c>
      <c r="H814" s="14">
        <f>IF(OR(F814="",G814="",AND(I814&lt;&gt;"W",I814&lt;&gt;"L")),"",IF(I814="W",IF(G814&gt;0,G814/100,1),IF(G814&lt;0,G814/100,-1)))</f>
        <v/>
      </c>
      <c r="I814" s="11" t="inlineStr">
        <is>
          <t>L</t>
        </is>
      </c>
      <c r="J814" s="10" t="inlineStr">
        <is>
          <t>ANA 0, VAN 2</t>
        </is>
      </c>
      <c r="K814" s="10" t="inlineStr">
        <is>
          <t>DraftKings closing</t>
        </is>
      </c>
    </row>
    <row r="815">
      <c r="A815" s="9" t="n">
        <v>46051</v>
      </c>
      <c r="B815" s="10" t="inlineStr">
        <is>
          <t>DAL @ VGK</t>
        </is>
      </c>
      <c r="C815" s="13" t="n">
        <v>74.17</v>
      </c>
      <c r="D815" s="13" t="n">
        <v>68.66</v>
      </c>
      <c r="E815" s="13">
        <f>IF(OR(C815="",D815=""),"",ABS(C815-D815))</f>
        <v/>
      </c>
      <c r="F815" s="11" t="inlineStr">
        <is>
          <t>DAL</t>
        </is>
      </c>
      <c r="G815" s="12" t="n">
        <v>100</v>
      </c>
      <c r="H815" s="14">
        <f>IF(OR(F815="",G815="",AND(I815&lt;&gt;"W",I815&lt;&gt;"L")),"",IF(I815="W",IF(G815&gt;0,G815/100,1),IF(G815&lt;0,G815/100,-1)))</f>
        <v/>
      </c>
      <c r="I815" s="11" t="inlineStr">
        <is>
          <t>W</t>
        </is>
      </c>
      <c r="J815" s="10" t="inlineStr">
        <is>
          <t>DAL 5, VGK 4</t>
        </is>
      </c>
      <c r="K815" s="10" t="inlineStr">
        <is>
          <t>DraftKings closing</t>
        </is>
      </c>
    </row>
    <row r="816">
      <c r="A816" s="9" t="n">
        <v>46051</v>
      </c>
      <c r="B816" s="10" t="inlineStr">
        <is>
          <t>TOR @ SEA</t>
        </is>
      </c>
      <c r="C816" s="13" t="n">
        <v>60.97</v>
      </c>
      <c r="D816" s="13" t="n">
        <v>88.92</v>
      </c>
      <c r="E816" s="13">
        <f>IF(OR(C816="",D816=""),"",ABS(C816-D816))</f>
        <v/>
      </c>
      <c r="F816" s="11" t="inlineStr">
        <is>
          <t>SEA</t>
        </is>
      </c>
      <c r="G816" s="12" t="n">
        <v>-102</v>
      </c>
      <c r="H816" s="14">
        <f>IF(OR(F816="",G816="",AND(I816&lt;&gt;"W",I816&lt;&gt;"L")),"",IF(I816="W",IF(G816&gt;0,G816/100,1),IF(G816&lt;0,G816/100,-1)))</f>
        <v/>
      </c>
      <c r="I816" s="11" t="inlineStr">
        <is>
          <t>W</t>
        </is>
      </c>
      <c r="J816" s="10" t="inlineStr">
        <is>
          <t>TOR 2, SEA 5</t>
        </is>
      </c>
      <c r="K816" s="10" t="inlineStr">
        <is>
          <t>DraftKings closing</t>
        </is>
      </c>
    </row>
    <row r="817">
      <c r="A817" s="9" t="n">
        <v>46052</v>
      </c>
      <c r="B817" s="10" t="inlineStr">
        <is>
          <t>CBJ @ CHI</t>
        </is>
      </c>
      <c r="C817" s="13" t="n">
        <v>77.81999999999999</v>
      </c>
      <c r="D817" s="13" t="n">
        <v>39.72</v>
      </c>
      <c r="E817" s="13">
        <f>IF(OR(C817="",D817=""),"",ABS(C817-D817))</f>
        <v/>
      </c>
      <c r="F817" s="11" t="inlineStr">
        <is>
          <t>CBJ</t>
        </is>
      </c>
      <c r="G817" s="12" t="n">
        <v>-162</v>
      </c>
      <c r="H817" s="14">
        <f>IF(OR(F817="",G817="",AND(I817&lt;&gt;"W",I817&lt;&gt;"L")),"",IF(I817="W",IF(G817&gt;0,G817/100,1),IF(G817&lt;0,G817/100,-1)))</f>
        <v/>
      </c>
      <c r="I817" s="11" t="inlineStr">
        <is>
          <t>W</t>
        </is>
      </c>
      <c r="J817" s="10" t="inlineStr">
        <is>
          <t>CBJ 4, CHI 2</t>
        </is>
      </c>
      <c r="K817" s="10" t="inlineStr">
        <is>
          <t>DraftKings closing</t>
        </is>
      </c>
    </row>
    <row r="818">
      <c r="A818" s="9" t="n">
        <v>46053</v>
      </c>
      <c r="B818" s="10" t="inlineStr">
        <is>
          <t>LAK @ PHI</t>
        </is>
      </c>
      <c r="C818" s="13" t="n">
        <v>67.05</v>
      </c>
      <c r="D818" s="13" t="n">
        <v>62.57</v>
      </c>
      <c r="E818" s="13">
        <f>IF(OR(C818="",D818=""),"",ABS(C818-D818))</f>
        <v/>
      </c>
      <c r="F818" s="11" t="inlineStr">
        <is>
          <t>LAK</t>
        </is>
      </c>
      <c r="G818" s="12" t="n">
        <v>-112</v>
      </c>
      <c r="H818" s="14">
        <f>IF(OR(F818="",G818="",AND(I818&lt;&gt;"W",I818&lt;&gt;"L")),"",IF(I818="W",IF(G818&gt;0,G818/100,1),IF(G818&lt;0,G818/100,-1)))</f>
        <v/>
      </c>
      <c r="I818" s="11" t="inlineStr">
        <is>
          <t>W</t>
        </is>
      </c>
      <c r="J818" s="10" t="inlineStr">
        <is>
          <t>LAK 3, PHI 2</t>
        </is>
      </c>
      <c r="K818" s="10" t="inlineStr">
        <is>
          <t>DraftKings closing</t>
        </is>
      </c>
    </row>
    <row r="819">
      <c r="A819" s="9" t="n">
        <v>46053</v>
      </c>
      <c r="B819" s="10" t="inlineStr">
        <is>
          <t>COL @ DET</t>
        </is>
      </c>
      <c r="C819" s="13" t="n">
        <v>60.61</v>
      </c>
      <c r="D819" s="13" t="n">
        <v>70.29000000000001</v>
      </c>
      <c r="E819" s="13">
        <f>IF(OR(C819="",D819=""),"",ABS(C819-D819))</f>
        <v/>
      </c>
      <c r="F819" s="11" t="inlineStr">
        <is>
          <t>DET</t>
        </is>
      </c>
      <c r="G819" s="12" t="n">
        <v>110</v>
      </c>
      <c r="H819" s="14">
        <f>IF(OR(F819="",G819="",AND(I819&lt;&gt;"W",I819&lt;&gt;"L")),"",IF(I819="W",IF(G819&gt;0,G819/100,1),IF(G819&lt;0,G819/100,-1)))</f>
        <v/>
      </c>
      <c r="I819" s="11" t="inlineStr">
        <is>
          <t>L</t>
        </is>
      </c>
      <c r="J819" s="10" t="inlineStr">
        <is>
          <t>COL 5, DET 0</t>
        </is>
      </c>
      <c r="K819" s="10" t="inlineStr">
        <is>
          <t>DraftKings closing</t>
        </is>
      </c>
    </row>
    <row r="820">
      <c r="A820" s="9" t="n">
        <v>46053</v>
      </c>
      <c r="B820" s="10" t="inlineStr">
        <is>
          <t>NYR @ PIT</t>
        </is>
      </c>
      <c r="C820" s="13" t="n">
        <v>66.19</v>
      </c>
      <c r="D820" s="13" t="n">
        <v>100</v>
      </c>
      <c r="E820" s="13">
        <f>IF(OR(C820="",D820=""),"",ABS(C820-D820))</f>
        <v/>
      </c>
      <c r="F820" s="11" t="inlineStr">
        <is>
          <t>PIT</t>
        </is>
      </c>
      <c r="G820" s="12" t="n">
        <v>-205</v>
      </c>
      <c r="H820" s="14">
        <f>IF(OR(F820="",G820="",AND(I820&lt;&gt;"W",I820&lt;&gt;"L")),"",IF(I820="W",IF(G820&gt;0,G820/100,1),IF(G820&lt;0,G820/100,-1)))</f>
        <v/>
      </c>
      <c r="I820" s="11" t="inlineStr">
        <is>
          <t>W</t>
        </is>
      </c>
      <c r="J820" s="10" t="inlineStr">
        <is>
          <t>NYR 5, PIT 6</t>
        </is>
      </c>
      <c r="K820" s="10" t="inlineStr">
        <is>
          <t>DraftKings closing</t>
        </is>
      </c>
    </row>
    <row r="821">
      <c r="A821" s="9" t="n">
        <v>46053</v>
      </c>
      <c r="B821" s="10" t="inlineStr">
        <is>
          <t>WPG @ FLA</t>
        </is>
      </c>
      <c r="C821" s="13" t="n">
        <v>59.2</v>
      </c>
      <c r="D821" s="13" t="n">
        <v>68.05</v>
      </c>
      <c r="E821" s="13">
        <f>IF(OR(C821="",D821=""),"",ABS(C821-D821))</f>
        <v/>
      </c>
      <c r="F821" s="11" t="inlineStr">
        <is>
          <t>FLA</t>
        </is>
      </c>
      <c r="G821" s="12" t="n">
        <v>-148</v>
      </c>
      <c r="H821" s="14">
        <f>IF(OR(F821="",G821="",AND(I821&lt;&gt;"W",I821&lt;&gt;"L")),"",IF(I821="W",IF(G821&gt;0,G821/100,1),IF(G821&lt;0,G821/100,-1)))</f>
        <v/>
      </c>
      <c r="I821" s="11" t="inlineStr">
        <is>
          <t>L</t>
        </is>
      </c>
      <c r="J821" s="10" t="inlineStr">
        <is>
          <t>WPG 2, FLA 1</t>
        </is>
      </c>
      <c r="K821" s="10" t="inlineStr">
        <is>
          <t>DraftKings closing</t>
        </is>
      </c>
    </row>
    <row r="822">
      <c r="A822" s="9" t="n">
        <v>46053</v>
      </c>
      <c r="B822" s="10" t="inlineStr">
        <is>
          <t>SJS @ CGY</t>
        </is>
      </c>
      <c r="C822" s="13" t="n">
        <v>62.02</v>
      </c>
      <c r="D822" s="13" t="n">
        <v>64.26000000000001</v>
      </c>
      <c r="E822" s="13">
        <f>IF(OR(C822="",D822=""),"",ABS(C822-D822))</f>
        <v/>
      </c>
      <c r="F822" s="11" t="inlineStr">
        <is>
          <t>CGY</t>
        </is>
      </c>
      <c r="G822" s="12" t="n">
        <v>-108</v>
      </c>
      <c r="H822" s="14">
        <f>IF(OR(F822="",G822="",AND(I822&lt;&gt;"W",I822&lt;&gt;"L")),"",IF(I822="W",IF(G822&gt;0,G822/100,1),IF(G822&lt;0,G822/100,-1)))</f>
        <v/>
      </c>
      <c r="I822" s="11" t="inlineStr">
        <is>
          <t>W</t>
        </is>
      </c>
      <c r="J822" s="10" t="inlineStr">
        <is>
          <t>SJS 2, CGY 3</t>
        </is>
      </c>
      <c r="K822" s="10" t="inlineStr">
        <is>
          <t>DraftKings closing</t>
        </is>
      </c>
    </row>
    <row r="823">
      <c r="A823" s="9" t="n">
        <v>46053</v>
      </c>
      <c r="B823" s="10" t="inlineStr">
        <is>
          <t>CAR @ WSH</t>
        </is>
      </c>
      <c r="C823" s="13" t="n">
        <v>78.97</v>
      </c>
      <c r="D823" s="13" t="n">
        <v>69.70999999999999</v>
      </c>
      <c r="E823" s="13">
        <f>IF(OR(C823="",D823=""),"",ABS(C823-D823))</f>
        <v/>
      </c>
      <c r="F823" s="11" t="inlineStr">
        <is>
          <t>CAR</t>
        </is>
      </c>
      <c r="G823" s="12" t="n">
        <v>-192</v>
      </c>
      <c r="H823" s="14">
        <f>IF(OR(F823="",G823="",AND(I823&lt;&gt;"W",I823&lt;&gt;"L")),"",IF(I823="W",IF(G823&gt;0,G823/100,1),IF(G823&lt;0,G823/100,-1)))</f>
        <v/>
      </c>
      <c r="I823" s="11" t="inlineStr">
        <is>
          <t>L</t>
        </is>
      </c>
      <c r="J823" s="10" t="inlineStr">
        <is>
          <t>CAR 3, WSH 4</t>
        </is>
      </c>
      <c r="K823" s="10" t="inlineStr">
        <is>
          <t>DraftKings closing</t>
        </is>
      </c>
    </row>
    <row r="824">
      <c r="A824" s="9" t="n">
        <v>46053</v>
      </c>
      <c r="B824" s="10" t="inlineStr">
        <is>
          <t>MTL @ BUF</t>
        </is>
      </c>
      <c r="C824" s="13" t="n">
        <v>79.39</v>
      </c>
      <c r="D824" s="13" t="n">
        <v>72.95</v>
      </c>
      <c r="E824" s="13">
        <f>IF(OR(C824="",D824=""),"",ABS(C824-D824))</f>
        <v/>
      </c>
      <c r="F824" s="11" t="inlineStr">
        <is>
          <t>MTL</t>
        </is>
      </c>
      <c r="G824" s="12" t="n">
        <v>105</v>
      </c>
      <c r="H824" s="14">
        <f>IF(OR(F824="",G824="",AND(I824&lt;&gt;"W",I824&lt;&gt;"L")),"",IF(I824="W",IF(G824&gt;0,G824/100,1),IF(G824&lt;0,G824/100,-1)))</f>
        <v/>
      </c>
      <c r="I824" s="11" t="inlineStr">
        <is>
          <t>W</t>
        </is>
      </c>
      <c r="J824" s="10" t="inlineStr">
        <is>
          <t>MTL 4, BUF 2</t>
        </is>
      </c>
      <c r="K824" s="10" t="inlineStr">
        <is>
          <t>DraftKings closing</t>
        </is>
      </c>
    </row>
    <row r="825">
      <c r="A825" s="9" t="n">
        <v>46053</v>
      </c>
      <c r="B825" s="10" t="inlineStr">
        <is>
          <t>NJD @ OTT</t>
        </is>
      </c>
      <c r="C825" s="13" t="n">
        <v>72.69</v>
      </c>
      <c r="D825" s="13" t="n">
        <v>71.48</v>
      </c>
      <c r="E825" s="13">
        <f>IF(OR(C825="",D825=""),"",ABS(C825-D825))</f>
        <v/>
      </c>
      <c r="F825" s="11" t="inlineStr">
        <is>
          <t>NJD</t>
        </is>
      </c>
      <c r="G825" s="12" t="n">
        <v>136</v>
      </c>
      <c r="H825" s="14">
        <f>IF(OR(F825="",G825="",AND(I825&lt;&gt;"W",I825&lt;&gt;"L")),"",IF(I825="W",IF(G825&gt;0,G825/100,1),IF(G825&lt;0,G825/100,-1)))</f>
        <v/>
      </c>
      <c r="I825" s="11" t="inlineStr">
        <is>
          <t>L</t>
        </is>
      </c>
      <c r="J825" s="10" t="inlineStr">
        <is>
          <t>NJD 1, OTT 4</t>
        </is>
      </c>
      <c r="K825" s="10" t="inlineStr">
        <is>
          <t>DraftKings closing</t>
        </is>
      </c>
    </row>
    <row r="826">
      <c r="A826" s="9" t="n">
        <v>46053</v>
      </c>
      <c r="B826" s="10" t="inlineStr">
        <is>
          <t>NSH @ NYI</t>
        </is>
      </c>
      <c r="C826" s="13" t="n">
        <v>67.31</v>
      </c>
      <c r="D826" s="13" t="n">
        <v>73.81</v>
      </c>
      <c r="E826" s="13">
        <f>IF(OR(C826="",D826=""),"",ABS(C826-D826))</f>
        <v/>
      </c>
      <c r="F826" s="11" t="inlineStr">
        <is>
          <t>NYI</t>
        </is>
      </c>
      <c r="G826" s="12" t="n">
        <v>-125</v>
      </c>
      <c r="H826" s="14">
        <f>IF(OR(F826="",G826="",AND(I826&lt;&gt;"W",I826&lt;&gt;"L")),"",IF(I826="W",IF(G826&gt;0,G826/100,1),IF(G826&lt;0,G826/100,-1)))</f>
        <v/>
      </c>
      <c r="I826" s="11" t="inlineStr">
        <is>
          <t>L</t>
        </is>
      </c>
      <c r="J826" s="10" t="inlineStr">
        <is>
          <t>NSH 4, NYI 3</t>
        </is>
      </c>
      <c r="K826" s="10" t="inlineStr">
        <is>
          <t>DraftKings closing</t>
        </is>
      </c>
    </row>
    <row r="827">
      <c r="A827" s="9" t="n">
        <v>46053</v>
      </c>
      <c r="B827" s="10" t="inlineStr">
        <is>
          <t>CBJ @ STL</t>
        </is>
      </c>
      <c r="C827" s="13" t="n">
        <v>77.3</v>
      </c>
      <c r="D827" s="13" t="n">
        <v>71.95</v>
      </c>
      <c r="E827" s="13">
        <f>IF(OR(C827="",D827=""),"",ABS(C827-D827))</f>
        <v/>
      </c>
      <c r="F827" s="11" t="inlineStr">
        <is>
          <t>CBJ</t>
        </is>
      </c>
      <c r="G827" s="12" t="n">
        <v>-118</v>
      </c>
      <c r="H827" s="14">
        <f>IF(OR(F827="",G827="",AND(I827&lt;&gt;"W",I827&lt;&gt;"L")),"",IF(I827="W",IF(G827&gt;0,G827/100,1),IF(G827&lt;0,G827/100,-1)))</f>
        <v/>
      </c>
      <c r="I827" s="11" t="inlineStr">
        <is>
          <t>W</t>
        </is>
      </c>
      <c r="J827" s="10" t="inlineStr">
        <is>
          <t>CBJ 5, STL 3</t>
        </is>
      </c>
      <c r="K827" s="10" t="inlineStr">
        <is>
          <t>DraftKings closing</t>
        </is>
      </c>
    </row>
    <row r="828">
      <c r="A828" s="9" t="n">
        <v>46053</v>
      </c>
      <c r="B828" s="10" t="inlineStr">
        <is>
          <t>TOR @ VAN</t>
        </is>
      </c>
      <c r="C828" s="13" t="n">
        <v>72.28</v>
      </c>
      <c r="D828" s="13" t="n">
        <v>69.38</v>
      </c>
      <c r="E828" s="13">
        <f>IF(OR(C828="",D828=""),"",ABS(C828-D828))</f>
        <v/>
      </c>
      <c r="F828" s="11" t="inlineStr">
        <is>
          <t>TOR</t>
        </is>
      </c>
      <c r="G828" s="12" t="n">
        <v>-162</v>
      </c>
      <c r="H828" s="14">
        <f>IF(OR(F828="",G828="",AND(I828&lt;&gt;"W",I828&lt;&gt;"L")),"",IF(I828="W",IF(G828&gt;0,G828/100,1),IF(G828&lt;0,G828/100,-1)))</f>
        <v/>
      </c>
      <c r="I828" s="11" t="inlineStr">
        <is>
          <t>W</t>
        </is>
      </c>
      <c r="J828" s="10" t="inlineStr">
        <is>
          <t>TOR 3, VAN 2</t>
        </is>
      </c>
      <c r="K828" s="10" t="inlineStr">
        <is>
          <t>DraftKings closing</t>
        </is>
      </c>
    </row>
    <row r="829">
      <c r="A829" s="9" t="n">
        <v>46053</v>
      </c>
      <c r="B829" s="10" t="inlineStr">
        <is>
          <t>DAL @ UTA</t>
        </is>
      </c>
      <c r="C829" s="13" t="n">
        <v>72.36</v>
      </c>
      <c r="D829" s="13" t="n">
        <v>61.03</v>
      </c>
      <c r="E829" s="13">
        <f>IF(OR(C829="",D829=""),"",ABS(C829-D829))</f>
        <v/>
      </c>
      <c r="F829" s="11" t="inlineStr">
        <is>
          <t>DAL</t>
        </is>
      </c>
      <c r="G829" s="12" t="n">
        <v>100</v>
      </c>
      <c r="H829" s="14">
        <f>IF(OR(F829="",G829="",AND(I829&lt;&gt;"W",I829&lt;&gt;"L")),"",IF(I829="W",IF(G829&gt;0,G829/100,1),IF(G829&lt;0,G829/100,-1)))</f>
        <v/>
      </c>
      <c r="I829" s="11" t="inlineStr">
        <is>
          <t>W</t>
        </is>
      </c>
      <c r="J829" s="10" t="inlineStr">
        <is>
          <t>DAL 3, UTA 2</t>
        </is>
      </c>
      <c r="K829" s="10" t="inlineStr">
        <is>
          <t>DraftKings closing</t>
        </is>
      </c>
    </row>
    <row r="830">
      <c r="A830" s="9" t="n">
        <v>46053</v>
      </c>
      <c r="B830" s="10" t="inlineStr">
        <is>
          <t>MIN @ EDM</t>
        </is>
      </c>
      <c r="C830" s="13" t="n">
        <v>75.73999999999999</v>
      </c>
      <c r="D830" s="13" t="n">
        <v>77.98</v>
      </c>
      <c r="E830" s="13">
        <f>IF(OR(C830="",D830=""),"",ABS(C830-D830))</f>
        <v/>
      </c>
      <c r="F830" s="11" t="inlineStr">
        <is>
          <t>EDM</t>
        </is>
      </c>
      <c r="G830" s="12" t="n">
        <v>-130</v>
      </c>
      <c r="H830" s="14">
        <f>IF(OR(F830="",G830="",AND(I830&lt;&gt;"W",I830&lt;&gt;"L")),"",IF(I830="W",IF(G830&gt;0,G830/100,1),IF(G830&lt;0,G830/100,-1)))</f>
        <v/>
      </c>
      <c r="I830" s="11" t="inlineStr">
        <is>
          <t>L</t>
        </is>
      </c>
      <c r="J830" s="10" t="inlineStr">
        <is>
          <t>MIN 7, EDM 3</t>
        </is>
      </c>
      <c r="K830" s="10" t="inlineStr">
        <is>
          <t>DraftKings closing</t>
        </is>
      </c>
    </row>
    <row r="831">
      <c r="A831" s="9" t="n">
        <v>46053</v>
      </c>
      <c r="B831" s="10" t="inlineStr">
        <is>
          <t>SEA @ VGK</t>
        </is>
      </c>
      <c r="C831" s="13" t="n">
        <v>67.72</v>
      </c>
      <c r="D831" s="13" t="n">
        <v>67.64</v>
      </c>
      <c r="E831" s="13">
        <f>IF(OR(C831="",D831=""),"",ABS(C831-D831))</f>
        <v/>
      </c>
      <c r="F831" s="11" t="inlineStr">
        <is>
          <t>SEA</t>
        </is>
      </c>
      <c r="G831" s="12" t="n">
        <v>160</v>
      </c>
      <c r="H831" s="14">
        <f>IF(OR(F831="",G831="",AND(I831&lt;&gt;"W",I831&lt;&gt;"L")),"",IF(I831="W",IF(G831&gt;0,G831/100,1),IF(G831&lt;0,G831/100,-1)))</f>
        <v/>
      </c>
      <c r="I831" s="11" t="inlineStr">
        <is>
          <t>W</t>
        </is>
      </c>
      <c r="J831" s="10" t="inlineStr">
        <is>
          <t>SEA 3, VGK 2</t>
        </is>
      </c>
      <c r="K831" s="10" t="inlineStr">
        <is>
          <t>DraftKings closing</t>
        </is>
      </c>
    </row>
    <row r="832">
      <c r="A832" s="9" t="n">
        <v>46054</v>
      </c>
      <c r="B832" s="10" t="inlineStr">
        <is>
          <t>LAK @ CAR</t>
        </is>
      </c>
      <c r="C832" s="13" t="n">
        <v>76.48</v>
      </c>
      <c r="D832" s="13" t="n">
        <v>59.9</v>
      </c>
      <c r="E832" s="13">
        <f>IF(OR(C832="",D832=""),"",ABS(C832-D832))</f>
        <v/>
      </c>
      <c r="F832" s="11" t="inlineStr">
        <is>
          <t>LAK</t>
        </is>
      </c>
      <c r="G832" s="12" t="n">
        <v>150</v>
      </c>
      <c r="H832" s="14">
        <f>IF(OR(F832="",G832="",AND(I832&lt;&gt;"W",I832&lt;&gt;"L")),"",IF(I832="W",IF(G832&gt;0,G832/100,1),IF(G832&lt;0,G832/100,-1)))</f>
        <v/>
      </c>
      <c r="I832" s="11" t="inlineStr">
        <is>
          <t>L</t>
        </is>
      </c>
      <c r="J832" s="10" t="inlineStr">
        <is>
          <t>LAK 2, CAR 3</t>
        </is>
      </c>
      <c r="K832" s="10" t="inlineStr">
        <is>
          <t>DraftKings closing</t>
        </is>
      </c>
    </row>
    <row r="833">
      <c r="A833" s="9" t="n">
        <v>46054</v>
      </c>
      <c r="B833" s="10" t="inlineStr">
        <is>
          <t>BOS @ TBL</t>
        </is>
      </c>
      <c r="C833" s="13" t="n">
        <v>77.43000000000001</v>
      </c>
      <c r="D833" s="13" t="n">
        <v>80.8</v>
      </c>
      <c r="E833" s="13">
        <f>IF(OR(C833="",D833=""),"",ABS(C833-D833))</f>
        <v/>
      </c>
      <c r="F833" s="11" t="inlineStr">
        <is>
          <t>TBL</t>
        </is>
      </c>
      <c r="G833" s="12" t="n">
        <v>-218</v>
      </c>
      <c r="H833" s="14">
        <f>IF(OR(F833="",G833="",AND(I833&lt;&gt;"W",I833&lt;&gt;"L")),"",IF(I833="W",IF(G833&gt;0,G833/100,1),IF(G833&lt;0,G833/100,-1)))</f>
        <v/>
      </c>
      <c r="I833" s="11" t="inlineStr">
        <is>
          <t>W</t>
        </is>
      </c>
      <c r="J833" s="10" t="inlineStr">
        <is>
          <t>BOS 5, TBL 6</t>
        </is>
      </c>
      <c r="K833" s="10" t="inlineStr">
        <is>
          <t>DraftKings closing</t>
        </is>
      </c>
    </row>
    <row r="834">
      <c r="A834" s="9" t="n">
        <v>46054</v>
      </c>
      <c r="B834" s="10" t="inlineStr">
        <is>
          <t>VGK @ ANA</t>
        </is>
      </c>
      <c r="C834" s="13" t="n">
        <v>67.75</v>
      </c>
      <c r="D834" s="13" t="n">
        <v>70.62</v>
      </c>
      <c r="E834" s="13">
        <f>IF(OR(C834="",D834=""),"",ABS(C834-D834))</f>
        <v/>
      </c>
      <c r="F834" s="11" t="inlineStr">
        <is>
          <t>ANA</t>
        </is>
      </c>
      <c r="G834" s="12" t="n">
        <v>-118</v>
      </c>
      <c r="H834" s="14">
        <f>IF(OR(F834="",G834="",AND(I834&lt;&gt;"W",I834&lt;&gt;"L")),"",IF(I834="W",IF(G834&gt;0,G834/100,1),IF(G834&lt;0,G834/100,-1)))</f>
        <v/>
      </c>
      <c r="I834" s="11" t="inlineStr">
        <is>
          <t>W</t>
        </is>
      </c>
      <c r="J834" s="10" t="inlineStr">
        <is>
          <t>VGK 3, ANA 4</t>
        </is>
      </c>
      <c r="K834" s="10" t="inlineStr">
        <is>
          <t>DraftKings closing</t>
        </is>
      </c>
    </row>
    <row r="835">
      <c r="A835" s="9" t="n">
        <v>46055</v>
      </c>
      <c r="B835" s="10" t="inlineStr">
        <is>
          <t>BUF @ FLA</t>
        </is>
      </c>
      <c r="C835" s="13" t="n">
        <v>76.03</v>
      </c>
      <c r="D835" s="13" t="n">
        <v>71.09</v>
      </c>
      <c r="E835" s="13">
        <f>IF(OR(C835="",D835=""),"",ABS(C835-D835))</f>
        <v/>
      </c>
      <c r="F835" s="11" t="inlineStr">
        <is>
          <t>BUF</t>
        </is>
      </c>
      <c r="G835" s="12" t="n">
        <v>-105</v>
      </c>
      <c r="H835" s="14">
        <f>IF(OR(F835="",G835="",AND(I835&lt;&gt;"W",I835&lt;&gt;"L")),"",IF(I835="W",IF(G835&gt;0,G835/100,1),IF(G835&lt;0,G835/100,-1)))</f>
        <v/>
      </c>
      <c r="I835" s="11" t="inlineStr">
        <is>
          <t>W</t>
        </is>
      </c>
      <c r="J835" s="10" t="inlineStr">
        <is>
          <t>BUF 5, FLA 3</t>
        </is>
      </c>
      <c r="K835" s="10" t="inlineStr">
        <is>
          <t>DraftKings closing</t>
        </is>
      </c>
    </row>
    <row r="836">
      <c r="A836" s="9" t="n">
        <v>46055</v>
      </c>
      <c r="B836" s="10" t="inlineStr">
        <is>
          <t>OTT @ PIT</t>
        </is>
      </c>
      <c r="C836" s="13" t="n">
        <v>79.06</v>
      </c>
      <c r="D836" s="13" t="n">
        <v>77.73999999999999</v>
      </c>
      <c r="E836" s="13">
        <f>IF(OR(C836="",D836=""),"",ABS(C836-D836))</f>
        <v/>
      </c>
      <c r="F836" s="11" t="inlineStr">
        <is>
          <t>OTT</t>
        </is>
      </c>
      <c r="G836" s="12" t="n">
        <v>-130</v>
      </c>
      <c r="H836" s="14">
        <f>IF(OR(F836="",G836="",AND(I836&lt;&gt;"W",I836&lt;&gt;"L")),"",IF(I836="W",IF(G836&gt;0,G836/100,1),IF(G836&lt;0,G836/100,-1)))</f>
        <v/>
      </c>
      <c r="I836" s="11" t="inlineStr">
        <is>
          <t>W</t>
        </is>
      </c>
      <c r="J836" s="10" t="inlineStr">
        <is>
          <t>OTT 3, PIT 2</t>
        </is>
      </c>
      <c r="K836" s="10" t="inlineStr">
        <is>
          <t>DraftKings closing</t>
        </is>
      </c>
    </row>
    <row r="837">
      <c r="A837" s="9" t="n">
        <v>46055</v>
      </c>
      <c r="B837" s="10" t="inlineStr">
        <is>
          <t>NYI @ WSH</t>
        </is>
      </c>
      <c r="C837" s="13" t="n">
        <v>58.66</v>
      </c>
      <c r="D837" s="13" t="n">
        <v>80.09999999999999</v>
      </c>
      <c r="E837" s="13">
        <f>IF(OR(C837="",D837=""),"",ABS(C837-D837))</f>
        <v/>
      </c>
      <c r="F837" s="11" t="inlineStr">
        <is>
          <t>WSH</t>
        </is>
      </c>
      <c r="G837" s="12" t="n">
        <v>-130</v>
      </c>
      <c r="H837" s="14">
        <f>IF(OR(F837="",G837="",AND(I837&lt;&gt;"W",I837&lt;&gt;"L")),"",IF(I837="W",IF(G837&gt;0,G837/100,1),IF(G837&lt;0,G837/100,-1)))</f>
        <v/>
      </c>
      <c r="I837" s="11" t="inlineStr">
        <is>
          <t>W</t>
        </is>
      </c>
      <c r="J837" s="10" t="inlineStr">
        <is>
          <t>NYI 1, WSH 4</t>
        </is>
      </c>
      <c r="K837" s="10" t="inlineStr">
        <is>
          <t>DraftKings closing</t>
        </is>
      </c>
    </row>
    <row r="838">
      <c r="A838" s="9" t="n">
        <v>46055</v>
      </c>
      <c r="B838" s="10" t="inlineStr">
        <is>
          <t>MTL @ MIN</t>
        </is>
      </c>
      <c r="C838" s="13" t="n">
        <v>63.97</v>
      </c>
      <c r="D838" s="13" t="n">
        <v>76.47</v>
      </c>
      <c r="E838" s="13">
        <f>IF(OR(C838="",D838=""),"",ABS(C838-D838))</f>
        <v/>
      </c>
      <c r="F838" s="11" t="inlineStr">
        <is>
          <t>MIN</t>
        </is>
      </c>
      <c r="G838" s="12" t="n">
        <v>-130</v>
      </c>
      <c r="H838" s="14">
        <f>IF(OR(F838="",G838="",AND(I838&lt;&gt;"W",I838&lt;&gt;"L")),"",IF(I838="W",IF(G838&gt;0,G838/100,1),IF(G838&lt;0,G838/100,-1)))</f>
        <v/>
      </c>
      <c r="I838" s="11" t="inlineStr">
        <is>
          <t>W</t>
        </is>
      </c>
      <c r="J838" s="10" t="inlineStr">
        <is>
          <t>MTL 3, MIN 4</t>
        </is>
      </c>
      <c r="K838" s="10" t="inlineStr">
        <is>
          <t>DraftKings closing</t>
        </is>
      </c>
    </row>
    <row r="839">
      <c r="A839" s="9" t="n">
        <v>46055</v>
      </c>
      <c r="B839" s="10" t="inlineStr">
        <is>
          <t>STL @ NSH</t>
        </is>
      </c>
      <c r="C839" s="13" t="n">
        <v>66.43000000000001</v>
      </c>
      <c r="D839" s="13" t="n">
        <v>81.34</v>
      </c>
      <c r="E839" s="13">
        <f>IF(OR(C839="",D839=""),"",ABS(C839-D839))</f>
        <v/>
      </c>
      <c r="F839" s="11" t="inlineStr">
        <is>
          <t>NSH</t>
        </is>
      </c>
      <c r="G839" s="12" t="n">
        <v>-142</v>
      </c>
      <c r="H839" s="14">
        <f>IF(OR(F839="",G839="",AND(I839&lt;&gt;"W",I839&lt;&gt;"L")),"",IF(I839="W",IF(G839&gt;0,G839/100,1),IF(G839&lt;0,G839/100,-1)))</f>
        <v/>
      </c>
      <c r="I839" s="11" t="inlineStr">
        <is>
          <t>W</t>
        </is>
      </c>
      <c r="J839" s="10" t="inlineStr">
        <is>
          <t>STL 5, NSH 6</t>
        </is>
      </c>
      <c r="K839" s="10" t="inlineStr">
        <is>
          <t>DraftKings closing</t>
        </is>
      </c>
    </row>
    <row r="840">
      <c r="A840" s="9" t="n">
        <v>46055</v>
      </c>
      <c r="B840" s="10" t="inlineStr">
        <is>
          <t>SJS @ CHI</t>
        </is>
      </c>
      <c r="C840" s="13" t="n">
        <v>58.61</v>
      </c>
      <c r="D840" s="13" t="n">
        <v>62.7</v>
      </c>
      <c r="E840" s="13">
        <f>IF(OR(C840="",D840=""),"",ABS(C840-D840))</f>
        <v/>
      </c>
      <c r="F840" s="11" t="inlineStr">
        <is>
          <t>CHI</t>
        </is>
      </c>
      <c r="G840" s="12" t="n">
        <v>-105</v>
      </c>
      <c r="H840" s="14">
        <f>IF(OR(F840="",G840="",AND(I840&lt;&gt;"W",I840&lt;&gt;"L")),"",IF(I840="W",IF(G840&gt;0,G840/100,1),IF(G840&lt;0,G840/100,-1)))</f>
        <v/>
      </c>
      <c r="I840" s="11" t="inlineStr">
        <is>
          <t>W</t>
        </is>
      </c>
      <c r="J840" s="10" t="inlineStr">
        <is>
          <t>SJS 3, CHI 6</t>
        </is>
      </c>
      <c r="K840" s="10" t="inlineStr">
        <is>
          <t>DraftKings closing</t>
        </is>
      </c>
    </row>
    <row r="841">
      <c r="A841" s="9" t="n">
        <v>46055</v>
      </c>
      <c r="B841" s="10" t="inlineStr">
        <is>
          <t>WPG @ DAL</t>
        </is>
      </c>
      <c r="C841" s="13" t="n">
        <v>68.91</v>
      </c>
      <c r="D841" s="13" t="n">
        <v>81.23999999999999</v>
      </c>
      <c r="E841" s="13">
        <f>IF(OR(C841="",D841=""),"",ABS(C841-D841))</f>
        <v/>
      </c>
      <c r="F841" s="11" t="inlineStr">
        <is>
          <t>DAL</t>
        </is>
      </c>
      <c r="G841" s="12" t="n">
        <v>-148</v>
      </c>
      <c r="H841" s="14">
        <f>IF(OR(F841="",G841="",AND(I841&lt;&gt;"W",I841&lt;&gt;"L")),"",IF(I841="W",IF(G841&gt;0,G841/100,1),IF(G841&lt;0,G841/100,-1)))</f>
        <v/>
      </c>
      <c r="I841" s="11" t="inlineStr">
        <is>
          <t>W</t>
        </is>
      </c>
      <c r="J841" s="10" t="inlineStr">
        <is>
          <t>WPG 3, DAL 4</t>
        </is>
      </c>
      <c r="K841" s="10" t="inlineStr">
        <is>
          <t>DraftKings closing</t>
        </is>
      </c>
    </row>
    <row r="842">
      <c r="A842" s="9" t="n">
        <v>46055</v>
      </c>
      <c r="B842" s="10" t="inlineStr">
        <is>
          <t>DET @ COL</t>
        </is>
      </c>
      <c r="C842" s="13" t="n">
        <v>51.05</v>
      </c>
      <c r="D842" s="13" t="n">
        <v>88.95</v>
      </c>
      <c r="E842" s="13">
        <f>IF(OR(C842="",D842=""),"",ABS(C842-D842))</f>
        <v/>
      </c>
      <c r="F842" s="11" t="inlineStr">
        <is>
          <t>COL</t>
        </is>
      </c>
      <c r="G842" s="12" t="n">
        <v>-192</v>
      </c>
      <c r="H842" s="14">
        <f>IF(OR(F842="",G842="",AND(I842&lt;&gt;"W",I842&lt;&gt;"L")),"",IF(I842="W",IF(G842&gt;0,G842/100,1),IF(G842&lt;0,G842/100,-1)))</f>
        <v/>
      </c>
      <c r="I842" s="11" t="inlineStr">
        <is>
          <t>L</t>
        </is>
      </c>
      <c r="J842" s="10" t="inlineStr">
        <is>
          <t>DET 2, COL 0</t>
        </is>
      </c>
      <c r="K842" s="10" t="inlineStr">
        <is>
          <t>DraftKings closing</t>
        </is>
      </c>
    </row>
    <row r="843">
      <c r="A843" s="9" t="n">
        <v>46055</v>
      </c>
      <c r="B843" s="10" t="inlineStr">
        <is>
          <t>VAN @ UTA</t>
        </is>
      </c>
      <c r="C843" s="13" t="n">
        <v>56.05</v>
      </c>
      <c r="D843" s="13" t="n">
        <v>58.76</v>
      </c>
      <c r="E843" s="13">
        <f>IF(OR(C843="",D843=""),"",ABS(C843-D843))</f>
        <v/>
      </c>
      <c r="F843" s="11" t="inlineStr">
        <is>
          <t>UTA</t>
        </is>
      </c>
      <c r="G843" s="12" t="n">
        <v>-290</v>
      </c>
      <c r="H843" s="14">
        <f>IF(OR(F843="",G843="",AND(I843&lt;&gt;"W",I843&lt;&gt;"L")),"",IF(I843="W",IF(G843&gt;0,G843/100,1),IF(G843&lt;0,G843/100,-1)))</f>
        <v/>
      </c>
      <c r="I843" s="11" t="inlineStr">
        <is>
          <t>W</t>
        </is>
      </c>
      <c r="J843" s="10" t="inlineStr">
        <is>
          <t>VAN 2, UTA 6</t>
        </is>
      </c>
      <c r="K843" s="10" t="inlineStr">
        <is>
          <t>DraftKings closing</t>
        </is>
      </c>
    </row>
    <row r="844">
      <c r="A844" s="9" t="n">
        <v>46055</v>
      </c>
      <c r="B844" s="10" t="inlineStr">
        <is>
          <t>TOR @ CGY</t>
        </is>
      </c>
      <c r="C844" s="13" t="n">
        <v>83.95</v>
      </c>
      <c r="D844" s="13" t="n">
        <v>81.39</v>
      </c>
      <c r="E844" s="13">
        <f>IF(OR(C844="",D844=""),"",ABS(C844-D844))</f>
        <v/>
      </c>
      <c r="F844" s="11" t="inlineStr">
        <is>
          <t>TOR</t>
        </is>
      </c>
      <c r="G844" s="12" t="n">
        <v>-122</v>
      </c>
      <c r="H844" s="14">
        <f>IF(OR(F844="",G844="",AND(I844&lt;&gt;"W",I844&lt;&gt;"L")),"",IF(I844="W",IF(G844&gt;0,G844/100,1),IF(G844&lt;0,G844/100,-1)))</f>
        <v/>
      </c>
      <c r="I844" s="11" t="inlineStr">
        <is>
          <t>W</t>
        </is>
      </c>
      <c r="J844" s="10" t="inlineStr">
        <is>
          <t>TOR 4, CGY 2</t>
        </is>
      </c>
      <c r="K844" s="10" t="inlineStr">
        <is>
          <t>DraftKings closing</t>
        </is>
      </c>
    </row>
    <row r="845">
      <c r="A845" s="9" t="n">
        <v>46056</v>
      </c>
      <c r="B845" s="10" t="inlineStr">
        <is>
          <t>CBJ @ NJD</t>
        </is>
      </c>
      <c r="C845" s="13" t="n">
        <v>73.56999999999999</v>
      </c>
      <c r="D845" s="13" t="n">
        <v>60.94</v>
      </c>
      <c r="E845" s="13">
        <f>IF(OR(C845="",D845=""),"",ABS(C845-D845))</f>
        <v/>
      </c>
      <c r="F845" s="11" t="inlineStr">
        <is>
          <t>CBJ</t>
        </is>
      </c>
      <c r="G845" s="12" t="n">
        <v>-112</v>
      </c>
      <c r="H845" s="14">
        <f>IF(OR(F845="",G845="",AND(I845&lt;&gt;"W",I845&lt;&gt;"L")),"",IF(I845="W",IF(G845&gt;0,G845/100,1),IF(G845&lt;0,G845/100,-1)))</f>
        <v/>
      </c>
      <c r="I845" s="11" t="inlineStr">
        <is>
          <t>W</t>
        </is>
      </c>
      <c r="J845" s="10" t="inlineStr">
        <is>
          <t>CBJ 3, NJD 0</t>
        </is>
      </c>
      <c r="K845" s="10" t="inlineStr">
        <is>
          <t>DraftKings closing</t>
        </is>
      </c>
    </row>
    <row r="846">
      <c r="A846" s="9" t="n">
        <v>46056</v>
      </c>
      <c r="B846" s="10" t="inlineStr">
        <is>
          <t>WSH @ PHI</t>
        </is>
      </c>
      <c r="C846" s="13" t="n">
        <v>69.09</v>
      </c>
      <c r="D846" s="13" t="n">
        <v>63.52</v>
      </c>
      <c r="E846" s="13">
        <f>IF(OR(C846="",D846=""),"",ABS(C846-D846))</f>
        <v/>
      </c>
      <c r="F846" s="11" t="inlineStr">
        <is>
          <t>WSH</t>
        </is>
      </c>
      <c r="G846" s="12" t="n">
        <v>120</v>
      </c>
      <c r="H846" s="14">
        <f>IF(OR(F846="",G846="",AND(I846&lt;&gt;"W",I846&lt;&gt;"L")),"",IF(I846="W",IF(G846&gt;0,G846/100,1),IF(G846&lt;0,G846/100,-1)))</f>
        <v/>
      </c>
      <c r="I846" s="11" t="inlineStr">
        <is>
          <t>L</t>
        </is>
      </c>
      <c r="J846" s="10" t="inlineStr">
        <is>
          <t>WSH 2, PHI 4</t>
        </is>
      </c>
      <c r="K846" s="10" t="inlineStr">
        <is>
          <t>DraftKings closing</t>
        </is>
      </c>
    </row>
    <row r="847">
      <c r="A847" s="9" t="n">
        <v>46056</v>
      </c>
      <c r="B847" s="10" t="inlineStr">
        <is>
          <t>OTT @ CAR</t>
        </is>
      </c>
      <c r="C847" s="13" t="n">
        <v>83.25</v>
      </c>
      <c r="D847" s="13" t="n">
        <v>85.39</v>
      </c>
      <c r="E847" s="13">
        <f>IF(OR(C847="",D847=""),"",ABS(C847-D847))</f>
        <v/>
      </c>
      <c r="F847" s="11" t="inlineStr">
        <is>
          <t>CAR</t>
        </is>
      </c>
      <c r="G847" s="12" t="n">
        <v>-180</v>
      </c>
      <c r="H847" s="14">
        <f>IF(OR(F847="",G847="",AND(I847&lt;&gt;"W",I847&lt;&gt;"L")),"",IF(I847="W",IF(G847&gt;0,G847/100,1),IF(G847&lt;0,G847/100,-1)))</f>
        <v/>
      </c>
      <c r="I847" s="11" t="inlineStr">
        <is>
          <t>W</t>
        </is>
      </c>
      <c r="J847" s="10" t="inlineStr">
        <is>
          <t>OTT 3, CAR 4</t>
        </is>
      </c>
      <c r="K847" s="10" t="inlineStr">
        <is>
          <t>DraftKings closing</t>
        </is>
      </c>
    </row>
    <row r="848">
      <c r="A848" s="9" t="n">
        <v>46056</v>
      </c>
      <c r="B848" s="10" t="inlineStr">
        <is>
          <t>BUF @ TBL</t>
        </is>
      </c>
      <c r="C848" s="13" t="n">
        <v>65.65000000000001</v>
      </c>
      <c r="D848" s="13" t="n">
        <v>72.34999999999999</v>
      </c>
      <c r="E848" s="13">
        <f>IF(OR(C848="",D848=""),"",ABS(C848-D848))</f>
        <v/>
      </c>
      <c r="F848" s="11" t="inlineStr">
        <is>
          <t>TBL</t>
        </is>
      </c>
      <c r="G848" s="12" t="n">
        <v>-205</v>
      </c>
      <c r="H848" s="14">
        <f>IF(OR(F848="",G848="",AND(I848&lt;&gt;"W",I848&lt;&gt;"L")),"",IF(I848="W",IF(G848&gt;0,G848/100,1),IF(G848&lt;0,G848/100,-1)))</f>
        <v/>
      </c>
      <c r="I848" s="11" t="inlineStr">
        <is>
          <t>W</t>
        </is>
      </c>
      <c r="J848" s="10" t="inlineStr">
        <is>
          <t>BUF 3, TBL 4</t>
        </is>
      </c>
      <c r="K848" s="10" t="inlineStr">
        <is>
          <t>DraftKings closing</t>
        </is>
      </c>
    </row>
    <row r="849">
      <c r="A849" s="9" t="n">
        <v>46056</v>
      </c>
      <c r="B849" s="10" t="inlineStr">
        <is>
          <t>PIT @ NYI</t>
        </is>
      </c>
      <c r="C849" s="13" t="n">
        <v>56.75</v>
      </c>
      <c r="D849" s="13" t="n">
        <v>70.91</v>
      </c>
      <c r="E849" s="13">
        <f>IF(OR(C849="",D849=""),"",ABS(C849-D849))</f>
        <v/>
      </c>
      <c r="F849" s="11" t="inlineStr">
        <is>
          <t>NYI</t>
        </is>
      </c>
      <c r="G849" s="12" t="n">
        <v>100</v>
      </c>
      <c r="H849" s="14">
        <f>IF(OR(F849="",G849="",AND(I849&lt;&gt;"W",I849&lt;&gt;"L")),"",IF(I849="W",IF(G849&gt;0,G849/100,1),IF(G849&lt;0,G849/100,-1)))</f>
        <v/>
      </c>
      <c r="I849" s="11" t="inlineStr">
        <is>
          <t>W</t>
        </is>
      </c>
      <c r="J849" s="10" t="inlineStr">
        <is>
          <t>PIT 4, NYI 5</t>
        </is>
      </c>
      <c r="K849" s="10" t="inlineStr">
        <is>
          <t>DraftKings closing</t>
        </is>
      </c>
    </row>
    <row r="850">
      <c r="A850" s="9" t="n">
        <v>46056</v>
      </c>
      <c r="B850" s="10" t="inlineStr">
        <is>
          <t>TOR @ EDM</t>
        </is>
      </c>
      <c r="C850" s="13" t="n">
        <v>69.45</v>
      </c>
      <c r="D850" s="13" t="n">
        <v>63.53</v>
      </c>
      <c r="E850" s="13">
        <f>IF(OR(C850="",D850=""),"",ABS(C850-D850))</f>
        <v/>
      </c>
      <c r="F850" s="11" t="inlineStr">
        <is>
          <t>TOR</t>
        </is>
      </c>
      <c r="G850" s="12" t="n">
        <v>160</v>
      </c>
      <c r="H850" s="14">
        <f>IF(OR(F850="",G850="",AND(I850&lt;&gt;"W",I850&lt;&gt;"L")),"",IF(I850="W",IF(G850&gt;0,G850/100,1),IF(G850&lt;0,G850/100,-1)))</f>
        <v/>
      </c>
      <c r="I850" s="11" t="inlineStr">
        <is>
          <t>W</t>
        </is>
      </c>
      <c r="J850" s="10" t="inlineStr">
        <is>
          <t>TOR 5, EDM 2</t>
        </is>
      </c>
      <c r="K850" s="10" t="inlineStr">
        <is>
          <t>DraftKings closing</t>
        </is>
      </c>
    </row>
    <row r="851">
      <c r="A851" s="9" t="n">
        <v>46056</v>
      </c>
      <c r="B851" s="10" t="inlineStr">
        <is>
          <t>SEA @ ANA</t>
        </is>
      </c>
      <c r="C851" s="13" t="n">
        <v>72.25</v>
      </c>
      <c r="D851" s="13" t="n">
        <v>65.95</v>
      </c>
      <c r="E851" s="13">
        <f>IF(OR(C851="",D851=""),"",ABS(C851-D851))</f>
        <v/>
      </c>
      <c r="F851" s="11" t="inlineStr">
        <is>
          <t>SEA</t>
        </is>
      </c>
      <c r="G851" s="12" t="n">
        <v>120</v>
      </c>
      <c r="H851" s="14">
        <f>IF(OR(F851="",G851="",AND(I851&lt;&gt;"W",I851&lt;&gt;"L")),"",IF(I851="W",IF(G851&gt;0,G851/100,1),IF(G851&lt;0,G851/100,-1)))</f>
        <v/>
      </c>
      <c r="I851" s="11" t="inlineStr">
        <is>
          <t>L</t>
        </is>
      </c>
      <c r="J851" s="10" t="inlineStr">
        <is>
          <t>SEA 2, ANA 4</t>
        </is>
      </c>
      <c r="K851" s="10" t="inlineStr">
        <is>
          <t>DraftKings closing</t>
        </is>
      </c>
    </row>
    <row r="852">
      <c r="A852" s="9" t="n">
        <v>46057</v>
      </c>
      <c r="B852" s="10" t="inlineStr">
        <is>
          <t>BOS @ FLA</t>
        </is>
      </c>
      <c r="C852" s="13" t="n">
        <v>67.65000000000001</v>
      </c>
      <c r="D852" s="13" t="n">
        <v>74.34999999999999</v>
      </c>
      <c r="E852" s="13">
        <f>IF(OR(C852="",D852=""),"",ABS(C852-D852))</f>
        <v/>
      </c>
      <c r="F852" s="11" t="inlineStr">
        <is>
          <t>FLA</t>
        </is>
      </c>
      <c r="G852" s="12" t="n">
        <v>-162</v>
      </c>
      <c r="H852" s="14">
        <f>IF(OR(F852="",G852="",AND(I852&lt;&gt;"W",I852&lt;&gt;"L")),"",IF(I852="W",IF(G852&gt;0,G852/100,1),IF(G852&lt;0,G852/100,-1)))</f>
        <v/>
      </c>
      <c r="I852" s="11" t="inlineStr">
        <is>
          <t>W</t>
        </is>
      </c>
      <c r="J852" s="10" t="inlineStr">
        <is>
          <t>BOS 4, FLA 5</t>
        </is>
      </c>
      <c r="K852" s="10" t="inlineStr">
        <is>
          <t>DraftKings closing</t>
        </is>
      </c>
    </row>
    <row r="853">
      <c r="A853" s="9" t="n">
        <v>46057</v>
      </c>
      <c r="B853" s="10" t="inlineStr">
        <is>
          <t>CHI @ CBJ</t>
        </is>
      </c>
      <c r="C853" s="13" t="n">
        <v>75.14</v>
      </c>
      <c r="D853" s="13" t="n">
        <v>76.65000000000001</v>
      </c>
      <c r="E853" s="13">
        <f>IF(OR(C853="",D853=""),"",ABS(C853-D853))</f>
        <v/>
      </c>
      <c r="F853" s="11" t="inlineStr">
        <is>
          <t>CBJ</t>
        </is>
      </c>
      <c r="G853" s="12" t="n">
        <v>-155</v>
      </c>
      <c r="H853" s="14">
        <f>IF(OR(F853="",G853="",AND(I853&lt;&gt;"W",I853&lt;&gt;"L")),"",IF(I853="W",IF(G853&gt;0,G853/100,1),IF(G853&lt;0,G853/100,-1)))</f>
        <v/>
      </c>
      <c r="I853" s="11" t="inlineStr">
        <is>
          <t>W</t>
        </is>
      </c>
      <c r="J853" s="10" t="inlineStr">
        <is>
          <t>CHI 0, CBJ 4</t>
        </is>
      </c>
      <c r="K853" s="10" t="inlineStr">
        <is>
          <t>DraftKings closing</t>
        </is>
      </c>
    </row>
    <row r="854">
      <c r="A854" s="9" t="n">
        <v>46057</v>
      </c>
      <c r="B854" s="10" t="inlineStr">
        <is>
          <t>MTL @ WPG</t>
        </is>
      </c>
      <c r="C854" s="13" t="n">
        <v>59.23</v>
      </c>
      <c r="D854" s="13" t="n">
        <v>62.46</v>
      </c>
      <c r="E854" s="13">
        <f>IF(OR(C854="",D854=""),"",ABS(C854-D854))</f>
        <v/>
      </c>
      <c r="F854" s="11" t="inlineStr">
        <is>
          <t>WPG</t>
        </is>
      </c>
      <c r="G854" s="12" t="n">
        <v>-130</v>
      </c>
      <c r="H854" s="14">
        <f>IF(OR(F854="",G854="",AND(I854&lt;&gt;"W",I854&lt;&gt;"L")),"",IF(I854="W",IF(G854&gt;0,G854/100,1),IF(G854&lt;0,G854/100,-1)))</f>
        <v/>
      </c>
      <c r="I854" s="11" t="inlineStr">
        <is>
          <t>L</t>
        </is>
      </c>
      <c r="J854" s="10" t="inlineStr">
        <is>
          <t>MTL 5, WPG 1</t>
        </is>
      </c>
      <c r="K854" s="10" t="inlineStr">
        <is>
          <t>DraftKings closing</t>
        </is>
      </c>
    </row>
    <row r="855">
      <c r="A855" s="9" t="n">
        <v>46057</v>
      </c>
      <c r="B855" s="10" t="inlineStr">
        <is>
          <t>MIN @ NSH</t>
        </is>
      </c>
      <c r="C855" s="13" t="n">
        <v>80.77</v>
      </c>
      <c r="D855" s="13" t="n">
        <v>71.19</v>
      </c>
      <c r="E855" s="13">
        <f>IF(OR(C855="",D855=""),"",ABS(C855-D855))</f>
        <v/>
      </c>
      <c r="F855" s="11" t="inlineStr">
        <is>
          <t>MIN</t>
        </is>
      </c>
      <c r="G855" s="12" t="n">
        <v>-125</v>
      </c>
      <c r="H855" s="14">
        <f>IF(OR(F855="",G855="",AND(I855&lt;&gt;"W",I855&lt;&gt;"L")),"",IF(I855="W",IF(G855&gt;0,G855/100,1),IF(G855&lt;0,G855/100,-1)))</f>
        <v/>
      </c>
      <c r="I855" s="11" t="inlineStr">
        <is>
          <t>W</t>
        </is>
      </c>
      <c r="J855" s="10" t="inlineStr">
        <is>
          <t>MIN 6, NSH 5</t>
        </is>
      </c>
      <c r="K855" s="10" t="inlineStr">
        <is>
          <t>DraftKings closing</t>
        </is>
      </c>
    </row>
    <row r="856">
      <c r="A856" s="9" t="n">
        <v>46057</v>
      </c>
      <c r="B856" s="10" t="inlineStr">
        <is>
          <t>SJS @ COL</t>
        </is>
      </c>
      <c r="C856" s="13" t="n">
        <v>64.86</v>
      </c>
      <c r="D856" s="13" t="n">
        <v>65.54000000000001</v>
      </c>
      <c r="E856" s="13">
        <f>IF(OR(C856="",D856=""),"",ABS(C856-D856))</f>
        <v/>
      </c>
      <c r="F856" s="11" t="inlineStr">
        <is>
          <t>COL</t>
        </is>
      </c>
      <c r="G856" s="12" t="n">
        <v>-298</v>
      </c>
      <c r="H856" s="14">
        <f>IF(OR(F856="",G856="",AND(I856&lt;&gt;"W",I856&lt;&gt;"L")),"",IF(I856="W",IF(G856&gt;0,G856/100,1),IF(G856&lt;0,G856/100,-1)))</f>
        <v/>
      </c>
      <c r="I856" s="11" t="inlineStr">
        <is>
          <t>W</t>
        </is>
      </c>
      <c r="J856" s="10" t="inlineStr">
        <is>
          <t>SJS 2, COL 4</t>
        </is>
      </c>
      <c r="K856" s="10" t="inlineStr">
        <is>
          <t>DraftKings closing</t>
        </is>
      </c>
    </row>
    <row r="857">
      <c r="A857" s="9" t="n">
        <v>46057</v>
      </c>
      <c r="B857" s="10" t="inlineStr">
        <is>
          <t>DET @ UTA</t>
        </is>
      </c>
      <c r="C857" s="13" t="n">
        <v>74.45999999999999</v>
      </c>
      <c r="D857" s="13" t="n">
        <v>83.92</v>
      </c>
      <c r="E857" s="13">
        <f>IF(OR(C857="",D857=""),"",ABS(C857-D857))</f>
        <v/>
      </c>
      <c r="F857" s="11" t="inlineStr">
        <is>
          <t>UTA</t>
        </is>
      </c>
      <c r="G857" s="12" t="n">
        <v>-135</v>
      </c>
      <c r="H857" s="14">
        <f>IF(OR(F857="",G857="",AND(I857&lt;&gt;"W",I857&lt;&gt;"L")),"",IF(I857="W",IF(G857&gt;0,G857/100,1),IF(G857&lt;0,G857/100,-1)))</f>
        <v/>
      </c>
      <c r="I857" s="11" t="inlineStr">
        <is>
          <t>W</t>
        </is>
      </c>
      <c r="J857" s="10" t="inlineStr">
        <is>
          <t>DET 1, UTA 4</t>
        </is>
      </c>
      <c r="K857" s="10" t="inlineStr">
        <is>
          <t>DraftKings closing</t>
        </is>
      </c>
    </row>
    <row r="858">
      <c r="A858" s="9" t="n">
        <v>46057</v>
      </c>
      <c r="B858" s="10" t="inlineStr">
        <is>
          <t>STL @ DAL</t>
        </is>
      </c>
      <c r="C858" s="13" t="n">
        <v>68.81</v>
      </c>
      <c r="D858" s="13" t="n">
        <v>77.54000000000001</v>
      </c>
      <c r="E858" s="13">
        <f>IF(OR(C858="",D858=""),"",ABS(C858-D858))</f>
        <v/>
      </c>
      <c r="F858" s="11" t="inlineStr">
        <is>
          <t>DAL</t>
        </is>
      </c>
      <c r="G858" s="12" t="n">
        <v>-218</v>
      </c>
      <c r="H858" s="14">
        <f>IF(OR(F858="",G858="",AND(I858&lt;&gt;"W",I858&lt;&gt;"L")),"",IF(I858="W",IF(G858&gt;0,G858/100,1),IF(G858&lt;0,G858/100,-1)))</f>
        <v/>
      </c>
      <c r="I858" s="11" t="inlineStr">
        <is>
          <t>W</t>
        </is>
      </c>
      <c r="J858" s="10" t="inlineStr">
        <is>
          <t>STL 4, DAL 5</t>
        </is>
      </c>
      <c r="K858" s="10" t="inlineStr">
        <is>
          <t>DraftKings closing</t>
        </is>
      </c>
    </row>
    <row r="859">
      <c r="A859" s="9" t="n">
        <v>46057</v>
      </c>
      <c r="B859" s="10" t="inlineStr">
        <is>
          <t>EDM @ CGY</t>
        </is>
      </c>
      <c r="C859" s="13" t="n">
        <v>71.43000000000001</v>
      </c>
      <c r="D859" s="13" t="n">
        <v>70.55</v>
      </c>
      <c r="E859" s="13">
        <f>IF(OR(C859="",D859=""),"",ABS(C859-D859))</f>
        <v/>
      </c>
      <c r="F859" s="11" t="inlineStr">
        <is>
          <t>EDM</t>
        </is>
      </c>
      <c r="G859" s="12" t="n">
        <v>-148</v>
      </c>
      <c r="H859" s="14">
        <f>IF(OR(F859="",G859="",AND(I859&lt;&gt;"W",I859&lt;&gt;"L")),"",IF(I859="W",IF(G859&gt;0,G859/100,1),IF(G859&lt;0,G859/100,-1)))</f>
        <v/>
      </c>
      <c r="I859" s="11" t="inlineStr">
        <is>
          <t>L</t>
        </is>
      </c>
      <c r="J859" s="10" t="inlineStr">
        <is>
          <t>EDM 3, CGY 4</t>
        </is>
      </c>
      <c r="K859" s="10" t="inlineStr">
        <is>
          <t>DraftKings closing</t>
        </is>
      </c>
    </row>
    <row r="860">
      <c r="A860" s="9" t="n">
        <v>46057</v>
      </c>
      <c r="B860" s="10" t="inlineStr">
        <is>
          <t>VAN @ VGK</t>
        </is>
      </c>
      <c r="C860" s="13" t="n">
        <v>56.08</v>
      </c>
      <c r="D860" s="13" t="n">
        <v>74.05</v>
      </c>
      <c r="E860" s="13">
        <f>IF(OR(C860="",D860=""),"",ABS(C860-D860))</f>
        <v/>
      </c>
      <c r="F860" s="11" t="inlineStr">
        <is>
          <t>VGK</t>
        </is>
      </c>
      <c r="G860" s="12" t="n">
        <v>-310</v>
      </c>
      <c r="H860" s="14">
        <f>IF(OR(F860="",G860="",AND(I860&lt;&gt;"W",I860&lt;&gt;"L")),"",IF(I860="W",IF(G860&gt;0,G860/100,1),IF(G860&lt;0,G860/100,-1)))</f>
        <v/>
      </c>
      <c r="I860" s="11" t="inlineStr">
        <is>
          <t>W</t>
        </is>
      </c>
      <c r="J860" s="10" t="inlineStr">
        <is>
          <t>VAN 2, VGK 5</t>
        </is>
      </c>
      <c r="K860" s="10" t="inlineStr">
        <is>
          <t>DraftKings closing</t>
        </is>
      </c>
    </row>
    <row r="861">
      <c r="A861" s="9" t="n">
        <v>46057</v>
      </c>
      <c r="B861" s="10" t="inlineStr">
        <is>
          <t>SEA @ LAK</t>
        </is>
      </c>
      <c r="C861" s="13" t="n">
        <v>57.51</v>
      </c>
      <c r="D861" s="13" t="n">
        <v>54.61</v>
      </c>
      <c r="E861" s="13">
        <f>IF(OR(C861="",D861=""),"",ABS(C861-D861))</f>
        <v/>
      </c>
      <c r="F861" s="11" t="inlineStr">
        <is>
          <t>SEA</t>
        </is>
      </c>
      <c r="G861" s="12" t="n">
        <v>145</v>
      </c>
      <c r="H861" s="14">
        <f>IF(OR(F861="",G861="",AND(I861&lt;&gt;"W",I861&lt;&gt;"L")),"",IF(I861="W",IF(G861&gt;0,G861/100,1),IF(G861&lt;0,G861/100,-1)))</f>
        <v/>
      </c>
      <c r="I861" s="11" t="inlineStr">
        <is>
          <t>W</t>
        </is>
      </c>
      <c r="J861" s="10" t="inlineStr">
        <is>
          <t>SEA 4, LAK 2</t>
        </is>
      </c>
      <c r="K861" s="10" t="inlineStr">
        <is>
          <t>DraftKings closing</t>
        </is>
      </c>
    </row>
    <row r="862">
      <c r="A862" s="9" t="n">
        <v>46058</v>
      </c>
      <c r="B862" s="10" t="inlineStr">
        <is>
          <t>PIT @ BUF</t>
        </is>
      </c>
      <c r="C862" s="13" t="n">
        <v>76.65000000000001</v>
      </c>
      <c r="D862" s="13" t="n">
        <v>61.49</v>
      </c>
      <c r="E862" s="13">
        <f>IF(OR(C862="",D862=""),"",ABS(C862-D862))</f>
        <v/>
      </c>
      <c r="F862" s="11" t="inlineStr">
        <is>
          <t>PIT</t>
        </is>
      </c>
      <c r="G862" s="12" t="n">
        <v>105</v>
      </c>
      <c r="H862" s="14">
        <f>IF(OR(F862="",G862="",AND(I862&lt;&gt;"W",I862&lt;&gt;"L")),"",IF(I862="W",IF(G862&gt;0,G862/100,1),IF(G862&lt;0,G862/100,-1)))</f>
        <v/>
      </c>
      <c r="I862" s="11" t="inlineStr">
        <is>
          <t>W</t>
        </is>
      </c>
      <c r="J862" s="10" t="inlineStr">
        <is>
          <t>PIT 5, BUF 2</t>
        </is>
      </c>
      <c r="K862" s="10" t="inlineStr">
        <is>
          <t>DraftKings closing</t>
        </is>
      </c>
    </row>
    <row r="863">
      <c r="A863" s="9" t="n">
        <v>46058</v>
      </c>
      <c r="B863" s="10" t="inlineStr">
        <is>
          <t>NYI @ NJD</t>
        </is>
      </c>
      <c r="C863" s="13" t="n">
        <v>63.35</v>
      </c>
      <c r="D863" s="13" t="n">
        <v>63.35</v>
      </c>
      <c r="E863" s="13">
        <f>IF(OR(C863="",D863=""),"",ABS(C863-D863))</f>
        <v/>
      </c>
      <c r="F863" s="11" t="inlineStr"/>
      <c r="G863" s="12" t="n"/>
      <c r="H863" s="14">
        <f>IF(OR(F863="",G863="",AND(I863&lt;&gt;"W",I863&lt;&gt;"L")),"",IF(I863="W",IF(G863&gt;0,G863/100,1),IF(G863&lt;0,G863/100,-1)))</f>
        <v/>
      </c>
      <c r="I863" s="11" t="inlineStr"/>
      <c r="J863" s="10" t="inlineStr">
        <is>
          <t>NYI 3, NJD 1</t>
        </is>
      </c>
      <c r="K863" s="10" t="inlineStr"/>
    </row>
    <row r="864">
      <c r="A864" s="9" t="n">
        <v>46058</v>
      </c>
      <c r="B864" s="10" t="inlineStr">
        <is>
          <t>CAR @ NYR</t>
        </is>
      </c>
      <c r="C864" s="13" t="n">
        <v>68.88</v>
      </c>
      <c r="D864" s="13" t="n">
        <v>62.26</v>
      </c>
      <c r="E864" s="13">
        <f>IF(OR(C864="",D864=""),"",ABS(C864-D864))</f>
        <v/>
      </c>
      <c r="F864" s="11" t="inlineStr">
        <is>
          <t>CAR</t>
        </is>
      </c>
      <c r="G864" s="12" t="n">
        <v>-225</v>
      </c>
      <c r="H864" s="14">
        <f>IF(OR(F864="",G864="",AND(I864&lt;&gt;"W",I864&lt;&gt;"L")),"",IF(I864="W",IF(G864&gt;0,G864/100,1),IF(G864&lt;0,G864/100,-1)))</f>
        <v/>
      </c>
      <c r="I864" s="11" t="inlineStr">
        <is>
          <t>W</t>
        </is>
      </c>
      <c r="J864" s="10" t="inlineStr">
        <is>
          <t>CAR 2, NYR 0</t>
        </is>
      </c>
      <c r="K864" s="10" t="inlineStr">
        <is>
          <t>DraftKings closing</t>
        </is>
      </c>
    </row>
    <row r="865">
      <c r="A865" s="9" t="n">
        <v>46058</v>
      </c>
      <c r="B865" s="10" t="inlineStr">
        <is>
          <t>OTT @ PHI</t>
        </is>
      </c>
      <c r="C865" s="13" t="n">
        <v>71.12</v>
      </c>
      <c r="D865" s="13" t="n">
        <v>70.38</v>
      </c>
      <c r="E865" s="13">
        <f>IF(OR(C865="",D865=""),"",ABS(C865-D865))</f>
        <v/>
      </c>
      <c r="F865" s="11" t="inlineStr">
        <is>
          <t>OTT</t>
        </is>
      </c>
      <c r="G865" s="12" t="n">
        <v>-130</v>
      </c>
      <c r="H865" s="14">
        <f>IF(OR(F865="",G865="",AND(I865&lt;&gt;"W",I865&lt;&gt;"L")),"",IF(I865="W",IF(G865&gt;0,G865/100,1),IF(G865&lt;0,G865/100,-1)))</f>
        <v/>
      </c>
      <c r="I865" s="11" t="inlineStr">
        <is>
          <t>W</t>
        </is>
      </c>
      <c r="J865" s="10" t="inlineStr">
        <is>
          <t>OTT 2, PHI 1</t>
        </is>
      </c>
      <c r="K865" s="10" t="inlineStr">
        <is>
          <t>DraftKings closing</t>
        </is>
      </c>
    </row>
    <row r="866">
      <c r="A866" s="9" t="n">
        <v>46058</v>
      </c>
      <c r="B866" s="10" t="inlineStr">
        <is>
          <t>NSH @ WSH</t>
        </is>
      </c>
      <c r="C866" s="13" t="n">
        <v>60.13</v>
      </c>
      <c r="D866" s="13" t="n">
        <v>69.62</v>
      </c>
      <c r="E866" s="13">
        <f>IF(OR(C866="",D866=""),"",ABS(C866-D866))</f>
        <v/>
      </c>
      <c r="F866" s="11" t="inlineStr">
        <is>
          <t>WSH</t>
        </is>
      </c>
      <c r="G866" s="12" t="n">
        <v>-175</v>
      </c>
      <c r="H866" s="14">
        <f>IF(OR(F866="",G866="",AND(I866&lt;&gt;"W",I866&lt;&gt;"L")),"",IF(I866="W",IF(G866&gt;0,G866/100,1),IF(G866&lt;0,G866/100,-1)))</f>
        <v/>
      </c>
      <c r="I866" s="11" t="inlineStr">
        <is>
          <t>W</t>
        </is>
      </c>
      <c r="J866" s="10" t="inlineStr">
        <is>
          <t>NSH 2, WSH 4</t>
        </is>
      </c>
      <c r="K866" s="10" t="inlineStr">
        <is>
          <t>DraftKings closing</t>
        </is>
      </c>
    </row>
    <row r="867">
      <c r="A867" s="9" t="n">
        <v>46058</v>
      </c>
      <c r="B867" s="10" t="inlineStr">
        <is>
          <t>FLA @ TBL</t>
        </is>
      </c>
      <c r="C867" s="13" t="n">
        <v>70.25</v>
      </c>
      <c r="D867" s="13" t="n">
        <v>78.51000000000001</v>
      </c>
      <c r="E867" s="13">
        <f>IF(OR(C867="",D867=""),"",ABS(C867-D867))</f>
        <v/>
      </c>
      <c r="F867" s="11" t="inlineStr">
        <is>
          <t>TBL</t>
        </is>
      </c>
      <c r="G867" s="12" t="n">
        <v>-218</v>
      </c>
      <c r="H867" s="14">
        <f>IF(OR(F867="",G867="",AND(I867&lt;&gt;"W",I867&lt;&gt;"L")),"",IF(I867="W",IF(G867&gt;0,G867/100,1),IF(G867&lt;0,G867/100,-1)))</f>
        <v/>
      </c>
      <c r="I867" s="11" t="inlineStr">
        <is>
          <t>W</t>
        </is>
      </c>
      <c r="J867" s="10" t="inlineStr">
        <is>
          <t>FLA 1, TBL 6</t>
        </is>
      </c>
      <c r="K867" s="10" t="inlineStr">
        <is>
          <t>DraftKings closing</t>
        </is>
      </c>
    </row>
    <row r="868">
      <c r="A868" s="9" t="n">
        <v>46058</v>
      </c>
      <c r="B868" s="10" t="inlineStr">
        <is>
          <t>LAK @ VGK</t>
        </is>
      </c>
      <c r="C868" s="13" t="n">
        <v>64.5</v>
      </c>
      <c r="D868" s="13" t="n">
        <v>85.26000000000001</v>
      </c>
      <c r="E868" s="13">
        <f>IF(OR(C868="",D868=""),"",ABS(C868-D868))</f>
        <v/>
      </c>
      <c r="F868" s="11" t="inlineStr">
        <is>
          <t>VGK</t>
        </is>
      </c>
      <c r="G868" s="12" t="n">
        <v>-142</v>
      </c>
      <c r="H868" s="14">
        <f>IF(OR(F868="",G868="",AND(I868&lt;&gt;"W",I868&lt;&gt;"L")),"",IF(I868="W",IF(G868&gt;0,G868/100,1),IF(G868&lt;0,G868/100,-1)))</f>
        <v/>
      </c>
      <c r="I868" s="11" t="inlineStr">
        <is>
          <t>W</t>
        </is>
      </c>
      <c r="J868" s="10" t="inlineStr">
        <is>
          <t>LAK 1, VGK 4</t>
        </is>
      </c>
      <c r="K868" s="10" t="inlineStr">
        <is>
          <t>DraftKings closing</t>
        </is>
      </c>
    </row>
    <row r="869">
      <c r="A869" s="9" t="n">
        <v>46078</v>
      </c>
      <c r="B869" s="10" t="inlineStr">
        <is>
          <t>BUF @ NJD</t>
        </is>
      </c>
      <c r="C869" s="13" t="n">
        <v>63.29</v>
      </c>
      <c r="D869" s="13" t="n">
        <v>66.62</v>
      </c>
      <c r="E869" s="13">
        <f>IF(OR(C869="",D869=""),"",ABS(C869-D869))</f>
        <v/>
      </c>
      <c r="F869" s="11" t="inlineStr">
        <is>
          <t>NJD</t>
        </is>
      </c>
      <c r="G869" s="12" t="n">
        <v>-112</v>
      </c>
      <c r="H869" s="14">
        <f>IF(OR(F869="",G869="",AND(I869&lt;&gt;"W",I869&lt;&gt;"L")),"",IF(I869="W",IF(G869&gt;0,G869/100,1),IF(G869&lt;0,G869/100,-1)))</f>
        <v/>
      </c>
      <c r="I869" s="11" t="inlineStr">
        <is>
          <t>L</t>
        </is>
      </c>
      <c r="J869" s="10" t="inlineStr">
        <is>
          <t>BUF 2, NJD 1</t>
        </is>
      </c>
      <c r="K869" s="10" t="inlineStr">
        <is>
          <t>DraftKings closing</t>
        </is>
      </c>
    </row>
    <row r="870">
      <c r="A870" s="9" t="n">
        <v>46078</v>
      </c>
      <c r="B870" s="10" t="inlineStr">
        <is>
          <t>PHI @ WSH</t>
        </is>
      </c>
      <c r="C870" s="13" t="n">
        <v>65.81999999999999</v>
      </c>
      <c r="D870" s="13" t="n">
        <v>72.06</v>
      </c>
      <c r="E870" s="13">
        <f>IF(OR(C870="",D870=""),"",ABS(C870-D870))</f>
        <v/>
      </c>
      <c r="F870" s="11" t="inlineStr">
        <is>
          <t>WSH</t>
        </is>
      </c>
      <c r="G870" s="12" t="n">
        <v>-142</v>
      </c>
      <c r="H870" s="14">
        <f>IF(OR(F870="",G870="",AND(I870&lt;&gt;"W",I870&lt;&gt;"L")),"",IF(I870="W",IF(G870&gt;0,G870/100,1),IF(G870&lt;0,G870/100,-1)))</f>
        <v/>
      </c>
      <c r="I870" s="11" t="inlineStr">
        <is>
          <t>W</t>
        </is>
      </c>
      <c r="J870" s="10" t="inlineStr">
        <is>
          <t>PHI 1, WSH 3</t>
        </is>
      </c>
      <c r="K870" s="10" t="inlineStr">
        <is>
          <t>DraftKings closing</t>
        </is>
      </c>
    </row>
    <row r="871">
      <c r="A871" s="9" t="n">
        <v>46078</v>
      </c>
      <c r="B871" s="10" t="inlineStr">
        <is>
          <t>TOR @ TBL</t>
        </is>
      </c>
      <c r="C871" s="13" t="n">
        <v>68.56999999999999</v>
      </c>
      <c r="D871" s="13" t="n">
        <v>77.98999999999999</v>
      </c>
      <c r="E871" s="13">
        <f>IF(OR(C871="",D871=""),"",ABS(C871-D871))</f>
        <v/>
      </c>
      <c r="F871" s="11" t="inlineStr">
        <is>
          <t>TBL</t>
        </is>
      </c>
      <c r="G871" s="12" t="n">
        <v>-225</v>
      </c>
      <c r="H871" s="14">
        <f>IF(OR(F871="",G871="",AND(I871&lt;&gt;"W",I871&lt;&gt;"L")),"",IF(I871="W",IF(G871&gt;0,G871/100,1),IF(G871&lt;0,G871/100,-1)))</f>
        <v/>
      </c>
      <c r="I871" s="11" t="inlineStr">
        <is>
          <t>W</t>
        </is>
      </c>
      <c r="J871" s="10" t="inlineStr">
        <is>
          <t>TOR 2, TBL 4</t>
        </is>
      </c>
      <c r="K871" s="10" t="inlineStr">
        <is>
          <t>DraftKings closing</t>
        </is>
      </c>
    </row>
    <row r="872">
      <c r="A872" s="9" t="n">
        <v>46078</v>
      </c>
      <c r="B872" s="10" t="inlineStr">
        <is>
          <t>SEA @ DAL</t>
        </is>
      </c>
      <c r="C872" s="13" t="n">
        <v>75.5</v>
      </c>
      <c r="D872" s="13" t="n">
        <v>77</v>
      </c>
      <c r="E872" s="13">
        <f>IF(OR(C872="",D872=""),"",ABS(C872-D872))</f>
        <v/>
      </c>
      <c r="F872" s="11" t="inlineStr">
        <is>
          <t>DAL</t>
        </is>
      </c>
      <c r="G872" s="12" t="n">
        <v>-170</v>
      </c>
      <c r="H872" s="14">
        <f>IF(OR(F872="",G872="",AND(I872&lt;&gt;"W",I872&lt;&gt;"L")),"",IF(I872="W",IF(G872&gt;0,G872/100,1),IF(G872&lt;0,G872/100,-1)))</f>
        <v/>
      </c>
      <c r="I872" s="11" t="inlineStr">
        <is>
          <t>W</t>
        </is>
      </c>
      <c r="J872" s="10" t="inlineStr">
        <is>
          <t>SEA 1, DAL 4</t>
        </is>
      </c>
      <c r="K872" s="10" t="inlineStr">
        <is>
          <t>DraftKings closing</t>
        </is>
      </c>
    </row>
    <row r="873">
      <c r="A873" s="9" t="n">
        <v>46078</v>
      </c>
      <c r="B873" s="10" t="inlineStr">
        <is>
          <t>COL @ UTA</t>
        </is>
      </c>
      <c r="C873" s="13" t="n">
        <v>85.64</v>
      </c>
      <c r="D873" s="13" t="n">
        <v>73.06</v>
      </c>
      <c r="E873" s="13">
        <f>IF(OR(C873="",D873=""),"",ABS(C873-D873))</f>
        <v/>
      </c>
      <c r="F873" s="11" t="inlineStr">
        <is>
          <t>COL</t>
        </is>
      </c>
      <c r="G873" s="12" t="n">
        <v>-120</v>
      </c>
      <c r="H873" s="14">
        <f>IF(OR(F873="",G873="",AND(I873&lt;&gt;"W",I873&lt;&gt;"L")),"",IF(I873="W",IF(G873&gt;0,G873/100,1),IF(G873&lt;0,G873/100,-1)))</f>
        <v/>
      </c>
      <c r="I873" s="11" t="inlineStr">
        <is>
          <t>W</t>
        </is>
      </c>
      <c r="J873" s="10" t="inlineStr">
        <is>
          <t>COL 4, UTA 2</t>
        </is>
      </c>
      <c r="K873" s="10" t="inlineStr">
        <is>
          <t>DraftKings closing</t>
        </is>
      </c>
    </row>
    <row r="874">
      <c r="A874" s="9" t="n">
        <v>46078</v>
      </c>
      <c r="B874" s="10" t="inlineStr">
        <is>
          <t>WPG @ VAN</t>
        </is>
      </c>
      <c r="C874" s="13" t="n">
        <v>67.01000000000001</v>
      </c>
      <c r="D874" s="13" t="n">
        <v>54.74</v>
      </c>
      <c r="E874" s="13">
        <f>IF(OR(C874="",D874=""),"",ABS(C874-D874))</f>
        <v/>
      </c>
      <c r="F874" s="11" t="inlineStr">
        <is>
          <t>WPG</t>
        </is>
      </c>
      <c r="G874" s="12" t="n">
        <v>-130</v>
      </c>
      <c r="H874" s="14">
        <f>IF(OR(F874="",G874="",AND(I874&lt;&gt;"W",I874&lt;&gt;"L")),"",IF(I874="W",IF(G874&gt;0,G874/100,1),IF(G874&lt;0,G874/100,-1)))</f>
        <v/>
      </c>
      <c r="I874" s="11" t="inlineStr">
        <is>
          <t>W</t>
        </is>
      </c>
      <c r="J874" s="10" t="inlineStr">
        <is>
          <t>WPG 3, VAN 2</t>
        </is>
      </c>
      <c r="K874" s="10" t="inlineStr">
        <is>
          <t>DraftKings closing</t>
        </is>
      </c>
    </row>
    <row r="875">
      <c r="A875" s="9" t="n">
        <v>46078</v>
      </c>
      <c r="B875" s="10" t="inlineStr">
        <is>
          <t>VGK @ LAK</t>
        </is>
      </c>
      <c r="C875" s="13" t="n">
        <v>76.27</v>
      </c>
      <c r="D875" s="13" t="n">
        <v>63.73</v>
      </c>
      <c r="E875" s="13">
        <f>IF(OR(C875="",D875=""),"",ABS(C875-D875))</f>
        <v/>
      </c>
      <c r="F875" s="11" t="inlineStr">
        <is>
          <t>VGK</t>
        </is>
      </c>
      <c r="G875" s="12" t="n">
        <v>150</v>
      </c>
      <c r="H875" s="14">
        <f>IF(OR(F875="",G875="",AND(I875&lt;&gt;"W",I875&lt;&gt;"L")),"",IF(I875="W",IF(G875&gt;0,G875/100,1),IF(G875&lt;0,G875/100,-1)))</f>
        <v/>
      </c>
      <c r="I875" s="11" t="inlineStr">
        <is>
          <t>W</t>
        </is>
      </c>
      <c r="J875" s="10" t="inlineStr">
        <is>
          <t>VGK 6, LAK 4</t>
        </is>
      </c>
      <c r="K875" s="10" t="inlineStr">
        <is>
          <t>DraftKings closing</t>
        </is>
      </c>
    </row>
    <row r="876">
      <c r="A876" s="9" t="n">
        <v>46078</v>
      </c>
      <c r="B876" s="10" t="inlineStr">
        <is>
          <t>EDM @ ANA</t>
        </is>
      </c>
      <c r="C876" s="13" t="n">
        <v>63.62</v>
      </c>
      <c r="D876" s="13" t="n">
        <v>82.48999999999999</v>
      </c>
      <c r="E876" s="13">
        <f>IF(OR(C876="",D876=""),"",ABS(C876-D876))</f>
        <v/>
      </c>
      <c r="F876" s="11" t="inlineStr">
        <is>
          <t>ANA</t>
        </is>
      </c>
      <c r="G876" s="12" t="n">
        <v>110</v>
      </c>
      <c r="H876" s="14">
        <f>IF(OR(F876="",G876="",AND(I876&lt;&gt;"W",I876&lt;&gt;"L")),"",IF(I876="W",IF(G876&gt;0,G876/100,1),IF(G876&lt;0,G876/100,-1)))</f>
        <v/>
      </c>
      <c r="I876" s="11" t="inlineStr">
        <is>
          <t>W</t>
        </is>
      </c>
      <c r="J876" s="10" t="inlineStr">
        <is>
          <t>EDM 5, ANA 6</t>
        </is>
      </c>
      <c r="K876" s="10" t="inlineStr">
        <is>
          <t>DraftKings closing</t>
        </is>
      </c>
    </row>
    <row r="877">
      <c r="A877" s="9" t="n">
        <v>46079</v>
      </c>
      <c r="B877" s="10" t="inlineStr">
        <is>
          <t>CBJ @ BOS</t>
        </is>
      </c>
      <c r="C877" s="13" t="n">
        <v>81.59</v>
      </c>
      <c r="D877" s="13" t="n">
        <v>69.75</v>
      </c>
      <c r="E877" s="13">
        <f>IF(OR(C877="",D877=""),"",ABS(C877-D877))</f>
        <v/>
      </c>
      <c r="F877" s="11" t="inlineStr">
        <is>
          <t>CBJ</t>
        </is>
      </c>
      <c r="G877" s="12" t="n">
        <v>-105</v>
      </c>
      <c r="H877" s="14">
        <f>IF(OR(F877="",G877="",AND(I877&lt;&gt;"W",I877&lt;&gt;"L")),"",IF(I877="W",IF(G877&gt;0,G877/100,1),IF(G877&lt;0,G877/100,-1)))</f>
        <v/>
      </c>
      <c r="I877" s="11" t="inlineStr">
        <is>
          <t>L</t>
        </is>
      </c>
      <c r="J877" s="10" t="inlineStr">
        <is>
          <t>CBJ 2, BOS 4</t>
        </is>
      </c>
      <c r="K877" s="10" t="inlineStr">
        <is>
          <t>DraftKings closing</t>
        </is>
      </c>
    </row>
    <row r="878">
      <c r="A878" s="9" t="n">
        <v>46079</v>
      </c>
      <c r="B878" s="10" t="inlineStr">
        <is>
          <t>NYI @ MTL</t>
        </is>
      </c>
      <c r="C878" s="13" t="n">
        <v>73.38</v>
      </c>
      <c r="D878" s="13" t="n">
        <v>72.98999999999999</v>
      </c>
      <c r="E878" s="13">
        <f>IF(OR(C878="",D878=""),"",ABS(C878-D878))</f>
        <v/>
      </c>
      <c r="F878" s="11" t="inlineStr">
        <is>
          <t>NYI</t>
        </is>
      </c>
      <c r="G878" s="12" t="n">
        <v>130</v>
      </c>
      <c r="H878" s="14">
        <f>IF(OR(F878="",G878="",AND(I878&lt;&gt;"W",I878&lt;&gt;"L")),"",IF(I878="W",IF(G878&gt;0,G878/100,1),IF(G878&lt;0,G878/100,-1)))</f>
        <v/>
      </c>
      <c r="I878" s="11" t="inlineStr">
        <is>
          <t>W</t>
        </is>
      </c>
      <c r="J878" s="10" t="inlineStr">
        <is>
          <t>NYI 4, MTL 3</t>
        </is>
      </c>
      <c r="K878" s="10" t="inlineStr">
        <is>
          <t>DraftKings closing</t>
        </is>
      </c>
    </row>
    <row r="879">
      <c r="A879" s="9" t="n">
        <v>46079</v>
      </c>
      <c r="B879" s="10" t="inlineStr">
        <is>
          <t>DET @ OTT</t>
        </is>
      </c>
      <c r="C879" s="13" t="n">
        <v>66.94</v>
      </c>
      <c r="D879" s="13" t="n">
        <v>74.18000000000001</v>
      </c>
      <c r="E879" s="13">
        <f>IF(OR(C879="",D879=""),"",ABS(C879-D879))</f>
        <v/>
      </c>
      <c r="F879" s="11" t="inlineStr">
        <is>
          <t>OTT</t>
        </is>
      </c>
      <c r="G879" s="12" t="n">
        <v>-155</v>
      </c>
      <c r="H879" s="14">
        <f>IF(OR(F879="",G879="",AND(I879&lt;&gt;"W",I879&lt;&gt;"L")),"",IF(I879="W",IF(G879&gt;0,G879/100,1),IF(G879&lt;0,G879/100,-1)))</f>
        <v/>
      </c>
      <c r="I879" s="11" t="inlineStr">
        <is>
          <t>L</t>
        </is>
      </c>
      <c r="J879" s="10" t="inlineStr">
        <is>
          <t>DET 2, OTT 1</t>
        </is>
      </c>
      <c r="K879" s="10" t="inlineStr">
        <is>
          <t>DraftKings closing</t>
        </is>
      </c>
    </row>
    <row r="880">
      <c r="A880" s="9" t="n">
        <v>46079</v>
      </c>
      <c r="B880" s="10" t="inlineStr">
        <is>
          <t>TOR @ FLA</t>
        </is>
      </c>
      <c r="C880" s="13" t="n">
        <v>54.22</v>
      </c>
      <c r="D880" s="13" t="n">
        <v>62.01</v>
      </c>
      <c r="E880" s="13">
        <f>IF(OR(C880="",D880=""),"",ABS(C880-D880))</f>
        <v/>
      </c>
      <c r="F880" s="11" t="inlineStr">
        <is>
          <t>FLA</t>
        </is>
      </c>
      <c r="G880" s="12" t="n">
        <v>-162</v>
      </c>
      <c r="H880" s="14">
        <f>IF(OR(F880="",G880="",AND(I880&lt;&gt;"W",I880&lt;&gt;"L")),"",IF(I880="W",IF(G880&gt;0,G880/100,1),IF(G880&lt;0,G880/100,-1)))</f>
        <v/>
      </c>
      <c r="I880" s="11" t="inlineStr">
        <is>
          <t>W</t>
        </is>
      </c>
      <c r="J880" s="10" t="inlineStr">
        <is>
          <t>TOR 1, FLA 5</t>
        </is>
      </c>
      <c r="K880" s="10" t="inlineStr">
        <is>
          <t>DraftKings closing</t>
        </is>
      </c>
    </row>
    <row r="881">
      <c r="A881" s="9" t="n">
        <v>46079</v>
      </c>
      <c r="B881" s="10" t="inlineStr">
        <is>
          <t>NJD @ PIT</t>
        </is>
      </c>
      <c r="C881" s="13" t="n">
        <v>62.9</v>
      </c>
      <c r="D881" s="13" t="n">
        <v>76.70999999999999</v>
      </c>
      <c r="E881" s="13">
        <f>IF(OR(C881="",D881=""),"",ABS(C881-D881))</f>
        <v/>
      </c>
      <c r="F881" s="11" t="inlineStr">
        <is>
          <t>PIT</t>
        </is>
      </c>
      <c r="G881" s="12" t="n">
        <v>-162</v>
      </c>
      <c r="H881" s="14">
        <f>IF(OR(F881="",G881="",AND(I881&lt;&gt;"W",I881&lt;&gt;"L")),"",IF(I881="W",IF(G881&gt;0,G881/100,1),IF(G881&lt;0,G881/100,-1)))</f>
        <v/>
      </c>
      <c r="I881" s="11" t="inlineStr">
        <is>
          <t>W</t>
        </is>
      </c>
      <c r="J881" s="10" t="inlineStr">
        <is>
          <t>NJD 1, PIT 4</t>
        </is>
      </c>
      <c r="K881" s="10" t="inlineStr">
        <is>
          <t>DraftKings closing</t>
        </is>
      </c>
    </row>
    <row r="882">
      <c r="A882" s="9" t="n">
        <v>46079</v>
      </c>
      <c r="B882" s="10" t="inlineStr">
        <is>
          <t>TBL @ CAR</t>
        </is>
      </c>
      <c r="C882" s="13" t="n">
        <v>85.78</v>
      </c>
      <c r="D882" s="13" t="n">
        <v>91.59</v>
      </c>
      <c r="E882" s="13">
        <f>IF(OR(C882="",D882=""),"",ABS(C882-D882))</f>
        <v/>
      </c>
      <c r="F882" s="11" t="inlineStr">
        <is>
          <t>CAR</t>
        </is>
      </c>
      <c r="G882" s="12" t="n">
        <v>-148</v>
      </c>
      <c r="H882" s="14">
        <f>IF(OR(F882="",G882="",AND(I882&lt;&gt;"W",I882&lt;&gt;"L")),"",IF(I882="W",IF(G882&gt;0,G882/100,1),IF(G882&lt;0,G882/100,-1)))</f>
        <v/>
      </c>
      <c r="I882" s="11" t="inlineStr">
        <is>
          <t>W</t>
        </is>
      </c>
      <c r="J882" s="10" t="inlineStr">
        <is>
          <t>TBL 4, CAR 5</t>
        </is>
      </c>
      <c r="K882" s="10" t="inlineStr">
        <is>
          <t>DraftKings closing</t>
        </is>
      </c>
    </row>
    <row r="883">
      <c r="A883" s="9" t="n">
        <v>46079</v>
      </c>
      <c r="B883" s="10" t="inlineStr">
        <is>
          <t>PHI @ NYR</t>
        </is>
      </c>
      <c r="C883" s="13" t="n">
        <v>63.04</v>
      </c>
      <c r="D883" s="13" t="n">
        <v>48.41</v>
      </c>
      <c r="E883" s="13">
        <f>IF(OR(C883="",D883=""),"",ABS(C883-D883))</f>
        <v/>
      </c>
      <c r="F883" s="11" t="inlineStr">
        <is>
          <t>PHI</t>
        </is>
      </c>
      <c r="G883" s="12" t="n">
        <v>124</v>
      </c>
      <c r="H883" s="14">
        <f>IF(OR(F883="",G883="",AND(I883&lt;&gt;"W",I883&lt;&gt;"L")),"",IF(I883="W",IF(G883&gt;0,G883/100,1),IF(G883&lt;0,G883/100,-1)))</f>
        <v/>
      </c>
      <c r="I883" s="11" t="inlineStr">
        <is>
          <t>W</t>
        </is>
      </c>
      <c r="J883" s="10" t="inlineStr">
        <is>
          <t>PHI 3, NYR 2</t>
        </is>
      </c>
      <c r="K883" s="10" t="inlineStr">
        <is>
          <t>DraftKings closing</t>
        </is>
      </c>
    </row>
    <row r="884">
      <c r="A884" s="9" t="n">
        <v>46079</v>
      </c>
      <c r="B884" s="10" t="inlineStr">
        <is>
          <t>SEA @ STL</t>
        </is>
      </c>
      <c r="C884" s="13" t="n">
        <v>52.95</v>
      </c>
      <c r="D884" s="13" t="n">
        <v>63</v>
      </c>
      <c r="E884" s="13">
        <f>IF(OR(C884="",D884=""),"",ABS(C884-D884))</f>
        <v/>
      </c>
      <c r="F884" s="11" t="inlineStr">
        <is>
          <t>STL</t>
        </is>
      </c>
      <c r="G884" s="12" t="n">
        <v>-142</v>
      </c>
      <c r="H884" s="14">
        <f>IF(OR(F884="",G884="",AND(I884&lt;&gt;"W",I884&lt;&gt;"L")),"",IF(I884="W",IF(G884&gt;0,G884/100,1),IF(G884&lt;0,G884/100,-1)))</f>
        <v/>
      </c>
      <c r="I884" s="11" t="inlineStr">
        <is>
          <t>W</t>
        </is>
      </c>
      <c r="J884" s="10" t="inlineStr">
        <is>
          <t>SEA 1, STL 5</t>
        </is>
      </c>
      <c r="K884" s="10" t="inlineStr">
        <is>
          <t>DraftKings closing</t>
        </is>
      </c>
    </row>
    <row r="885">
      <c r="A885" s="9" t="n">
        <v>46079</v>
      </c>
      <c r="B885" s="10" t="inlineStr">
        <is>
          <t>CHI @ NSH</t>
        </is>
      </c>
      <c r="C885" s="13" t="n">
        <v>58.41</v>
      </c>
      <c r="D885" s="13" t="n">
        <v>67.94</v>
      </c>
      <c r="E885" s="13">
        <f>IF(OR(C885="",D885=""),"",ABS(C885-D885))</f>
        <v/>
      </c>
      <c r="F885" s="11" t="inlineStr">
        <is>
          <t>NSH</t>
        </is>
      </c>
      <c r="G885" s="12" t="n">
        <v>-175</v>
      </c>
      <c r="H885" s="14">
        <f>IF(OR(F885="",G885="",AND(I885&lt;&gt;"W",I885&lt;&gt;"L")),"",IF(I885="W",IF(G885&gt;0,G885/100,1),IF(G885&lt;0,G885/100,-1)))</f>
        <v/>
      </c>
      <c r="I885" s="11" t="inlineStr">
        <is>
          <t>W</t>
        </is>
      </c>
      <c r="J885" s="10" t="inlineStr">
        <is>
          <t>CHI 2, NSH 4</t>
        </is>
      </c>
      <c r="K885" s="10" t="inlineStr">
        <is>
          <t>DraftKings closing</t>
        </is>
      </c>
    </row>
    <row r="886">
      <c r="A886" s="9" t="n">
        <v>46079</v>
      </c>
      <c r="B886" s="10" t="inlineStr">
        <is>
          <t>MIN @ COL</t>
        </is>
      </c>
      <c r="C886" s="13" t="n">
        <v>79.87</v>
      </c>
      <c r="D886" s="13" t="n">
        <v>77.45</v>
      </c>
      <c r="E886" s="13">
        <f>IF(OR(C886="",D886=""),"",ABS(C886-D886))</f>
        <v/>
      </c>
      <c r="F886" s="11" t="inlineStr">
        <is>
          <t>MIN</t>
        </is>
      </c>
      <c r="G886" s="12" t="n">
        <v>130</v>
      </c>
      <c r="H886" s="14">
        <f>IF(OR(F886="",G886="",AND(I886&lt;&gt;"W",I886&lt;&gt;"L")),"",IF(I886="W",IF(G886&gt;0,G886/100,1),IF(G886&lt;0,G886/100,-1)))</f>
        <v/>
      </c>
      <c r="I886" s="11" t="inlineStr">
        <is>
          <t>W</t>
        </is>
      </c>
      <c r="J886" s="10" t="inlineStr">
        <is>
          <t>MIN 5, COL 2</t>
        </is>
      </c>
      <c r="K886" s="10" t="inlineStr">
        <is>
          <t>DraftKings closing</t>
        </is>
      </c>
    </row>
    <row r="887">
      <c r="A887" s="9" t="n">
        <v>46079</v>
      </c>
      <c r="B887" s="10" t="inlineStr">
        <is>
          <t>CGY @ SJS</t>
        </is>
      </c>
      <c r="C887" s="13" t="n">
        <v>76.38</v>
      </c>
      <c r="D887" s="13" t="n">
        <v>54.36</v>
      </c>
      <c r="E887" s="13">
        <f>IF(OR(C887="",D887=""),"",ABS(C887-D887))</f>
        <v/>
      </c>
      <c r="F887" s="11" t="inlineStr">
        <is>
          <t>CGY</t>
        </is>
      </c>
      <c r="G887" s="12" t="n">
        <v>110</v>
      </c>
      <c r="H887" s="14">
        <f>IF(OR(F887="",G887="",AND(I887&lt;&gt;"W",I887&lt;&gt;"L")),"",IF(I887="W",IF(G887&gt;0,G887/100,1),IF(G887&lt;0,G887/100,-1)))</f>
        <v/>
      </c>
      <c r="I887" s="11" t="inlineStr">
        <is>
          <t>W</t>
        </is>
      </c>
      <c r="J887" s="10" t="inlineStr">
        <is>
          <t>CGY 4, SJS 1</t>
        </is>
      </c>
      <c r="K887" s="10" t="inlineStr">
        <is>
          <t>DraftKings closing</t>
        </is>
      </c>
    </row>
    <row r="888">
      <c r="A888" s="9" t="n">
        <v>46079</v>
      </c>
      <c r="B888" s="10" t="inlineStr">
        <is>
          <t>EDM @ LAK</t>
        </is>
      </c>
      <c r="C888" s="13" t="n">
        <v>76.18000000000001</v>
      </c>
      <c r="D888" s="13" t="n">
        <v>63.34</v>
      </c>
      <c r="E888" s="13">
        <f>IF(OR(C888="",D888=""),"",ABS(C888-D888))</f>
        <v/>
      </c>
      <c r="F888" s="11" t="inlineStr">
        <is>
          <t>EDM</t>
        </is>
      </c>
      <c r="G888" s="12" t="n">
        <v>-120</v>
      </c>
      <c r="H888" s="14">
        <f>IF(OR(F888="",G888="",AND(I888&lt;&gt;"W",I888&lt;&gt;"L")),"",IF(I888="W",IF(G888&gt;0,G888/100,1),IF(G888&lt;0,G888/100,-1)))</f>
        <v/>
      </c>
      <c r="I888" s="11" t="inlineStr">
        <is>
          <t>W</t>
        </is>
      </c>
      <c r="J888" s="10" t="inlineStr">
        <is>
          <t>EDM 8, LAK 1</t>
        </is>
      </c>
      <c r="K888" s="10" t="inlineStr">
        <is>
          <t>DraftKings closing</t>
        </is>
      </c>
    </row>
    <row r="889">
      <c r="A889" s="9" t="n">
        <v>46080</v>
      </c>
      <c r="B889" s="10" t="inlineStr">
        <is>
          <t>BUF @ FLA</t>
        </is>
      </c>
      <c r="C889" s="13" t="n">
        <v>77.09999999999999</v>
      </c>
      <c r="D889" s="13" t="n">
        <v>83.70999999999999</v>
      </c>
      <c r="E889" s="13">
        <f>IF(OR(C889="",D889=""),"",ABS(C889-D889))</f>
        <v/>
      </c>
      <c r="F889" s="11" t="inlineStr">
        <is>
          <t>FLA</t>
        </is>
      </c>
      <c r="G889" s="12" t="n">
        <v>-115</v>
      </c>
      <c r="H889" s="14">
        <f>IF(OR(F889="",G889="",AND(I889&lt;&gt;"W",I889&lt;&gt;"L")),"",IF(I889="W",IF(G889&gt;0,G889/100,1),IF(G889&lt;0,G889/100,-1)))</f>
        <v/>
      </c>
      <c r="I889" s="11" t="inlineStr">
        <is>
          <t>L</t>
        </is>
      </c>
      <c r="J889" s="10" t="inlineStr">
        <is>
          <t>BUF 3, FLA 2</t>
        </is>
      </c>
      <c r="K889" s="10" t="inlineStr">
        <is>
          <t>DraftKings closing</t>
        </is>
      </c>
    </row>
    <row r="890">
      <c r="A890" s="9" t="n">
        <v>46080</v>
      </c>
      <c r="B890" s="10" t="inlineStr">
        <is>
          <t>VGK @ WSH</t>
        </is>
      </c>
      <c r="C890" s="13" t="n">
        <v>76.66</v>
      </c>
      <c r="D890" s="13" t="n">
        <v>76.95999999999999</v>
      </c>
      <c r="E890" s="13">
        <f>IF(OR(C890="",D890=""),"",ABS(C890-D890))</f>
        <v/>
      </c>
      <c r="F890" s="11" t="inlineStr">
        <is>
          <t>WSH</t>
        </is>
      </c>
      <c r="G890" s="12" t="n">
        <v>-115</v>
      </c>
      <c r="H890" s="14">
        <f>IF(OR(F890="",G890="",AND(I890&lt;&gt;"W",I890&lt;&gt;"L")),"",IF(I890="W",IF(G890&gt;0,G890/100,1),IF(G890&lt;0,G890/100,-1)))</f>
        <v/>
      </c>
      <c r="I890" s="11" t="inlineStr">
        <is>
          <t>W</t>
        </is>
      </c>
      <c r="J890" s="10" t="inlineStr">
        <is>
          <t>VGK 2, WSH 3</t>
        </is>
      </c>
      <c r="K890" s="10" t="inlineStr">
        <is>
          <t>DraftKings closing</t>
        </is>
      </c>
    </row>
    <row r="891">
      <c r="A891" s="9" t="n">
        <v>46080</v>
      </c>
      <c r="B891" s="10" t="inlineStr">
        <is>
          <t>MIN @ UTA</t>
        </is>
      </c>
      <c r="C891" s="13" t="n">
        <v>66.58</v>
      </c>
      <c r="D891" s="13" t="n">
        <v>62.55</v>
      </c>
      <c r="E891" s="13">
        <f>IF(OR(C891="",D891=""),"",ABS(C891-D891))</f>
        <v/>
      </c>
      <c r="F891" s="11" t="inlineStr">
        <is>
          <t>MIN</t>
        </is>
      </c>
      <c r="G891" s="12" t="n">
        <v>120</v>
      </c>
      <c r="H891" s="14">
        <f>IF(OR(F891="",G891="",AND(I891&lt;&gt;"W",I891&lt;&gt;"L")),"",IF(I891="W",IF(G891&gt;0,G891/100,1),IF(G891&lt;0,G891/100,-1)))</f>
        <v/>
      </c>
      <c r="I891" s="11" t="inlineStr">
        <is>
          <t>L</t>
        </is>
      </c>
      <c r="J891" s="10" t="inlineStr">
        <is>
          <t>MIN 2, UTA 5</t>
        </is>
      </c>
      <c r="K891" s="10" t="inlineStr">
        <is>
          <t>DraftKings closing</t>
        </is>
      </c>
    </row>
    <row r="892">
      <c r="A892" s="9" t="n">
        <v>46080</v>
      </c>
      <c r="B892" s="10" t="inlineStr">
        <is>
          <t>WPG @ ANA</t>
        </is>
      </c>
      <c r="C892" s="13" t="n">
        <v>82.93000000000001</v>
      </c>
      <c r="D892" s="13" t="n">
        <v>63.82</v>
      </c>
      <c r="E892" s="13">
        <f>IF(OR(C892="",D892=""),"",ABS(C892-D892))</f>
        <v/>
      </c>
      <c r="F892" s="11" t="inlineStr">
        <is>
          <t>WPG</t>
        </is>
      </c>
      <c r="G892" s="12" t="n">
        <v>114</v>
      </c>
      <c r="H892" s="14">
        <f>IF(OR(F892="",G892="",AND(I892&lt;&gt;"W",I892&lt;&gt;"L")),"",IF(I892="W",IF(G892&gt;0,G892/100,1),IF(G892&lt;0,G892/100,-1)))</f>
        <v/>
      </c>
      <c r="I892" s="11" t="inlineStr">
        <is>
          <t>L</t>
        </is>
      </c>
      <c r="J892" s="10" t="inlineStr">
        <is>
          <t>WPG 4, ANA 5</t>
        </is>
      </c>
      <c r="K892" s="10" t="inlineStr">
        <is>
          <t>DraftKings closing</t>
        </is>
      </c>
    </row>
    <row r="893">
      <c r="A893" s="9" t="n">
        <v>46081</v>
      </c>
      <c r="B893" s="10" t="inlineStr">
        <is>
          <t>PIT @ NYR</t>
        </is>
      </c>
      <c r="C893" s="13" t="n">
        <v>74.31</v>
      </c>
      <c r="D893" s="13" t="n">
        <v>68.13</v>
      </c>
      <c r="E893" s="13">
        <f>IF(OR(C893="",D893=""),"",ABS(C893-D893))</f>
        <v/>
      </c>
      <c r="F893" s="11" t="inlineStr">
        <is>
          <t>PIT</t>
        </is>
      </c>
      <c r="G893" s="12" t="n">
        <v>-125</v>
      </c>
      <c r="H893" s="14">
        <f>IF(OR(F893="",G893="",AND(I893&lt;&gt;"W",I893&lt;&gt;"L")),"",IF(I893="W",IF(G893&gt;0,G893/100,1),IF(G893&lt;0,G893/100,-1)))</f>
        <v/>
      </c>
      <c r="I893" s="11" t="inlineStr">
        <is>
          <t>L</t>
        </is>
      </c>
      <c r="J893" s="10" t="inlineStr">
        <is>
          <t>PIT 2, NYR 3</t>
        </is>
      </c>
      <c r="K893" s="10" t="inlineStr">
        <is>
          <t>DraftKings closing</t>
        </is>
      </c>
    </row>
    <row r="894">
      <c r="A894" s="9" t="n">
        <v>46081</v>
      </c>
      <c r="B894" s="10" t="inlineStr">
        <is>
          <t>BOS @ PHI</t>
        </is>
      </c>
      <c r="C894" s="13" t="n">
        <v>65.23</v>
      </c>
      <c r="D894" s="13" t="n">
        <v>71.87</v>
      </c>
      <c r="E894" s="13">
        <f>IF(OR(C894="",D894=""),"",ABS(C894-D894))</f>
        <v/>
      </c>
      <c r="F894" s="11" t="inlineStr">
        <is>
          <t>PHI</t>
        </is>
      </c>
      <c r="G894" s="12" t="n">
        <v>-115</v>
      </c>
      <c r="H894" s="14">
        <f>IF(OR(F894="",G894="",AND(I894&lt;&gt;"W",I894&lt;&gt;"L")),"",IF(I894="W",IF(G894&gt;0,G894/100,1),IF(G894&lt;0,G894/100,-1)))</f>
        <v/>
      </c>
      <c r="I894" s="11" t="inlineStr">
        <is>
          <t>W</t>
        </is>
      </c>
      <c r="J894" s="10" t="inlineStr">
        <is>
          <t>BOS 1, PHI 3</t>
        </is>
      </c>
      <c r="K894" s="10" t="inlineStr">
        <is>
          <t>DraftKings closing</t>
        </is>
      </c>
    </row>
    <row r="895">
      <c r="A895" s="9" t="n">
        <v>46081</v>
      </c>
      <c r="B895" s="10" t="inlineStr">
        <is>
          <t>EDM @ SJS</t>
        </is>
      </c>
      <c r="C895" s="13" t="n">
        <v>100</v>
      </c>
      <c r="D895" s="13" t="n">
        <v>69.33</v>
      </c>
      <c r="E895" s="13">
        <f>IF(OR(C895="",D895=""),"",ABS(C895-D895))</f>
        <v/>
      </c>
      <c r="F895" s="11" t="inlineStr">
        <is>
          <t>EDM</t>
        </is>
      </c>
      <c r="G895" s="12" t="n">
        <v>-162</v>
      </c>
      <c r="H895" s="14">
        <f>IF(OR(F895="",G895="",AND(I895&lt;&gt;"W",I895&lt;&gt;"L")),"",IF(I895="W",IF(G895&gt;0,G895/100,1),IF(G895&lt;0,G895/100,-1)))</f>
        <v/>
      </c>
      <c r="I895" s="11" t="inlineStr">
        <is>
          <t>L</t>
        </is>
      </c>
      <c r="J895" s="10" t="inlineStr">
        <is>
          <t>EDM 4, SJS 5</t>
        </is>
      </c>
      <c r="K895" s="10" t="inlineStr">
        <is>
          <t>DraftKings closing</t>
        </is>
      </c>
    </row>
    <row r="896">
      <c r="A896" s="9" t="n">
        <v>46081</v>
      </c>
      <c r="B896" s="10" t="inlineStr">
        <is>
          <t>NJD @ STL</t>
        </is>
      </c>
      <c r="C896" s="13" t="n">
        <v>65.69</v>
      </c>
      <c r="D896" s="13" t="n">
        <v>83.93000000000001</v>
      </c>
      <c r="E896" s="13">
        <f>IF(OR(C896="",D896=""),"",ABS(C896-D896))</f>
        <v/>
      </c>
      <c r="F896" s="11" t="inlineStr">
        <is>
          <t>STL</t>
        </is>
      </c>
      <c r="G896" s="12" t="n">
        <v>-102</v>
      </c>
      <c r="H896" s="14">
        <f>IF(OR(F896="",G896="",AND(I896&lt;&gt;"W",I896&lt;&gt;"L")),"",IF(I896="W",IF(G896&gt;0,G896/100,1),IF(G896&lt;0,G896/100,-1)))</f>
        <v/>
      </c>
      <c r="I896" s="11" t="inlineStr">
        <is>
          <t>L</t>
        </is>
      </c>
      <c r="J896" s="10" t="inlineStr">
        <is>
          <t>NJD 3, STL 1</t>
        </is>
      </c>
      <c r="K896" s="10" t="inlineStr">
        <is>
          <t>DraftKings closing</t>
        </is>
      </c>
    </row>
    <row r="897">
      <c r="A897" s="9" t="n">
        <v>46081</v>
      </c>
      <c r="B897" s="10" t="inlineStr">
        <is>
          <t>NYI @ CBJ</t>
        </is>
      </c>
      <c r="C897" s="13" t="n">
        <v>74.79000000000001</v>
      </c>
      <c r="D897" s="13" t="n">
        <v>74.77</v>
      </c>
      <c r="E897" s="13">
        <f>IF(OR(C897="",D897=""),"",ABS(C897-D897))</f>
        <v/>
      </c>
      <c r="F897" s="11" t="inlineStr">
        <is>
          <t>NYI</t>
        </is>
      </c>
      <c r="G897" s="12" t="n">
        <v>120</v>
      </c>
      <c r="H897" s="14">
        <f>IF(OR(F897="",G897="",AND(I897&lt;&gt;"W",I897&lt;&gt;"L")),"",IF(I897="W",IF(G897&gt;0,G897/100,1),IF(G897&lt;0,G897/100,-1)))</f>
        <v/>
      </c>
      <c r="I897" s="11" t="inlineStr">
        <is>
          <t>W</t>
        </is>
      </c>
      <c r="J897" s="10" t="inlineStr">
        <is>
          <t>NYI 4, CBJ 3</t>
        </is>
      </c>
      <c r="K897" s="10" t="inlineStr">
        <is>
          <t>DraftKings closing</t>
        </is>
      </c>
    </row>
    <row r="898">
      <c r="A898" s="9" t="n">
        <v>46081</v>
      </c>
      <c r="B898" s="10" t="inlineStr">
        <is>
          <t>CHI @ COL</t>
        </is>
      </c>
      <c r="C898" s="13" t="n">
        <v>66.52</v>
      </c>
      <c r="D898" s="13" t="n">
        <v>73.42</v>
      </c>
      <c r="E898" s="13">
        <f>IF(OR(C898="",D898=""),"",ABS(C898-D898))</f>
        <v/>
      </c>
      <c r="F898" s="11" t="inlineStr">
        <is>
          <t>COL</t>
        </is>
      </c>
      <c r="G898" s="12" t="n">
        <v>-360</v>
      </c>
      <c r="H898" s="14">
        <f>IF(OR(F898="",G898="",AND(I898&lt;&gt;"W",I898&lt;&gt;"L")),"",IF(I898="W",IF(G898&gt;0,G898/100,1),IF(G898&lt;0,G898/100,-1)))</f>
        <v/>
      </c>
      <c r="I898" s="11" t="inlineStr">
        <is>
          <t>W</t>
        </is>
      </c>
      <c r="J898" s="10" t="inlineStr">
        <is>
          <t>CHI 1, COL 3</t>
        </is>
      </c>
      <c r="K898" s="10" t="inlineStr">
        <is>
          <t>DraftKings closing</t>
        </is>
      </c>
    </row>
    <row r="899">
      <c r="A899" s="9" t="n">
        <v>46081</v>
      </c>
      <c r="B899" s="10" t="inlineStr">
        <is>
          <t>OTT @ TOR</t>
        </is>
      </c>
      <c r="C899" s="13" t="n">
        <v>70.03</v>
      </c>
      <c r="D899" s="13" t="n">
        <v>56.29</v>
      </c>
      <c r="E899" s="13">
        <f>IF(OR(C899="",D899=""),"",ABS(C899-D899))</f>
        <v/>
      </c>
      <c r="F899" s="11" t="inlineStr">
        <is>
          <t>OTT</t>
        </is>
      </c>
      <c r="G899" s="12" t="n">
        <v>-135</v>
      </c>
      <c r="H899" s="14">
        <f>IF(OR(F899="",G899="",AND(I899&lt;&gt;"W",I899&lt;&gt;"L")),"",IF(I899="W",IF(G899&gt;0,G899/100,1),IF(G899&lt;0,G899/100,-1)))</f>
        <v/>
      </c>
      <c r="I899" s="11" t="inlineStr">
        <is>
          <t>W</t>
        </is>
      </c>
      <c r="J899" s="10" t="inlineStr">
        <is>
          <t>OTT 5, TOR 2</t>
        </is>
      </c>
      <c r="K899" s="10" t="inlineStr">
        <is>
          <t>DraftKings closing</t>
        </is>
      </c>
    </row>
    <row r="900">
      <c r="A900" s="9" t="n">
        <v>46081</v>
      </c>
      <c r="B900" s="10" t="inlineStr">
        <is>
          <t>WSH @ MTL</t>
        </is>
      </c>
      <c r="C900" s="13" t="n">
        <v>68.70999999999999</v>
      </c>
      <c r="D900" s="13" t="n">
        <v>65.20999999999999</v>
      </c>
      <c r="E900" s="13">
        <f>IF(OR(C900="",D900=""),"",ABS(C900-D900))</f>
        <v/>
      </c>
      <c r="F900" s="11" t="inlineStr">
        <is>
          <t>WSH</t>
        </is>
      </c>
      <c r="G900" s="12" t="n">
        <v>136</v>
      </c>
      <c r="H900" s="14">
        <f>IF(OR(F900="",G900="",AND(I900&lt;&gt;"W",I900&lt;&gt;"L")),"",IF(I900="W",IF(G900&gt;0,G900/100,1),IF(G900&lt;0,G900/100,-1)))</f>
        <v/>
      </c>
      <c r="I900" s="11" t="inlineStr">
        <is>
          <t>L</t>
        </is>
      </c>
      <c r="J900" s="10" t="inlineStr">
        <is>
          <t>WSH 2, MTL 6</t>
        </is>
      </c>
      <c r="K900" s="10" t="inlineStr">
        <is>
          <t>DraftKings closing</t>
        </is>
      </c>
    </row>
    <row r="901">
      <c r="A901" s="9" t="n">
        <v>46081</v>
      </c>
      <c r="B901" s="10" t="inlineStr">
        <is>
          <t>BUF @ TBL</t>
        </is>
      </c>
      <c r="C901" s="13" t="n">
        <v>75.95</v>
      </c>
      <c r="D901" s="13" t="n">
        <v>67.31999999999999</v>
      </c>
      <c r="E901" s="13">
        <f>IF(OR(C901="",D901=""),"",ABS(C901-D901))</f>
        <v/>
      </c>
      <c r="F901" s="11" t="inlineStr">
        <is>
          <t>BUF</t>
        </is>
      </c>
      <c r="G901" s="12" t="n">
        <v>200</v>
      </c>
      <c r="H901" s="14">
        <f>IF(OR(F901="",G901="",AND(I901&lt;&gt;"W",I901&lt;&gt;"L")),"",IF(I901="W",IF(G901&gt;0,G901/100,1),IF(G901&lt;0,G901/100,-1)))</f>
        <v/>
      </c>
      <c r="I901" s="11" t="inlineStr">
        <is>
          <t>W</t>
        </is>
      </c>
      <c r="J901" s="10" t="inlineStr">
        <is>
          <t>BUF 6, TBL 2</t>
        </is>
      </c>
      <c r="K901" s="10" t="inlineStr">
        <is>
          <t>DraftKings closing</t>
        </is>
      </c>
    </row>
    <row r="902">
      <c r="A902" s="9" t="n">
        <v>46081</v>
      </c>
      <c r="B902" s="10" t="inlineStr">
        <is>
          <t>DET @ CAR</t>
        </is>
      </c>
      <c r="C902" s="13" t="n">
        <v>69.97</v>
      </c>
      <c r="D902" s="13" t="n">
        <v>72.68000000000001</v>
      </c>
      <c r="E902" s="13">
        <f>IF(OR(C902="",D902=""),"",ABS(C902-D902))</f>
        <v/>
      </c>
      <c r="F902" s="11" t="inlineStr">
        <is>
          <t>CAR</t>
        </is>
      </c>
      <c r="G902" s="12" t="n">
        <v>-192</v>
      </c>
      <c r="H902" s="14">
        <f>IF(OR(F902="",G902="",AND(I902&lt;&gt;"W",I902&lt;&gt;"L")),"",IF(I902="W",IF(G902&gt;0,G902/100,1),IF(G902&lt;0,G902/100,-1)))</f>
        <v/>
      </c>
      <c r="I902" s="11" t="inlineStr">
        <is>
          <t>W</t>
        </is>
      </c>
      <c r="J902" s="10" t="inlineStr">
        <is>
          <t>DET 2, CAR 5</t>
        </is>
      </c>
      <c r="K902" s="10" t="inlineStr">
        <is>
          <t>DraftKings closing</t>
        </is>
      </c>
    </row>
    <row r="903">
      <c r="A903" s="9" t="n">
        <v>46081</v>
      </c>
      <c r="B903" s="10" t="inlineStr">
        <is>
          <t>CGY @ LAK</t>
        </is>
      </c>
      <c r="C903" s="13" t="n">
        <v>70.67</v>
      </c>
      <c r="D903" s="13" t="n">
        <v>39.29</v>
      </c>
      <c r="E903" s="13">
        <f>IF(OR(C903="",D903=""),"",ABS(C903-D903))</f>
        <v/>
      </c>
      <c r="F903" s="11" t="inlineStr">
        <is>
          <t>CGY</t>
        </is>
      </c>
      <c r="G903" s="12" t="n">
        <v>124</v>
      </c>
      <c r="H903" s="14">
        <f>IF(OR(F903="",G903="",AND(I903&lt;&gt;"W",I903&lt;&gt;"L")),"",IF(I903="W",IF(G903&gt;0,G903/100,1),IF(G903&lt;0,G903/100,-1)))</f>
        <v/>
      </c>
      <c r="I903" s="11" t="inlineStr">
        <is>
          <t>L</t>
        </is>
      </c>
      <c r="J903" s="10" t="inlineStr">
        <is>
          <t>CGY 0, LAK 2</t>
        </is>
      </c>
      <c r="K903" s="10" t="inlineStr">
        <is>
          <t>DraftKings closing</t>
        </is>
      </c>
    </row>
    <row r="904">
      <c r="A904" s="9" t="n">
        <v>46081</v>
      </c>
      <c r="B904" s="10" t="inlineStr">
        <is>
          <t>NSH @ DAL</t>
        </is>
      </c>
      <c r="C904" s="13" t="n">
        <v>73.48</v>
      </c>
      <c r="D904" s="13" t="n">
        <v>87.05</v>
      </c>
      <c r="E904" s="13">
        <f>IF(OR(C904="",D904=""),"",ABS(C904-D904))</f>
        <v/>
      </c>
      <c r="F904" s="11" t="inlineStr">
        <is>
          <t>DAL</t>
        </is>
      </c>
      <c r="G904" s="12" t="n">
        <v>-148</v>
      </c>
      <c r="H904" s="14">
        <f>IF(OR(F904="",G904="",AND(I904&lt;&gt;"W",I904&lt;&gt;"L")),"",IF(I904="W",IF(G904&gt;0,G904/100,1),IF(G904&lt;0,G904/100,-1)))</f>
        <v/>
      </c>
      <c r="I904" s="11" t="inlineStr">
        <is>
          <t>W</t>
        </is>
      </c>
      <c r="J904" s="10" t="inlineStr">
        <is>
          <t>NSH 2, DAL 3</t>
        </is>
      </c>
      <c r="K904" s="10" t="inlineStr">
        <is>
          <t>DraftKings closing</t>
        </is>
      </c>
    </row>
    <row r="905">
      <c r="A905" s="9" t="n">
        <v>46081</v>
      </c>
      <c r="B905" s="10" t="inlineStr">
        <is>
          <t>VAN @ SEA</t>
        </is>
      </c>
      <c r="C905" s="13" t="n">
        <v>57.07</v>
      </c>
      <c r="D905" s="13" t="n">
        <v>56.07</v>
      </c>
      <c r="E905" s="13">
        <f>IF(OR(C905="",D905=""),"",ABS(C905-D905))</f>
        <v/>
      </c>
      <c r="F905" s="11" t="inlineStr">
        <is>
          <t>VAN</t>
        </is>
      </c>
      <c r="G905" s="12" t="n">
        <v>136</v>
      </c>
      <c r="H905" s="14">
        <f>IF(OR(F905="",G905="",AND(I905&lt;&gt;"W",I905&lt;&gt;"L")),"",IF(I905="W",IF(G905&gt;0,G905/100,1),IF(G905&lt;0,G905/100,-1)))</f>
        <v/>
      </c>
      <c r="I905" s="11" t="inlineStr">
        <is>
          <t>L</t>
        </is>
      </c>
      <c r="J905" s="10" t="inlineStr">
        <is>
          <t>VAN 1, SEA 5</t>
        </is>
      </c>
      <c r="K905" s="10" t="inlineStr">
        <is>
          <t>DraftKings closing</t>
        </is>
      </c>
    </row>
    <row r="906">
      <c r="A906" s="9" t="n">
        <v>46082</v>
      </c>
      <c r="B906" s="10" t="inlineStr">
        <is>
          <t>VGK @ PIT</t>
        </is>
      </c>
      <c r="C906" s="13" t="n">
        <v>71.29000000000001</v>
      </c>
      <c r="D906" s="13" t="n">
        <v>67.52</v>
      </c>
      <c r="E906" s="13">
        <f>IF(OR(C906="",D906=""),"",ABS(C906-D906))</f>
        <v/>
      </c>
      <c r="F906" s="11" t="inlineStr">
        <is>
          <t>VGK</t>
        </is>
      </c>
      <c r="G906" s="12" t="n">
        <v>-155</v>
      </c>
      <c r="H906" s="14">
        <f>IF(OR(F906="",G906="",AND(I906&lt;&gt;"W",I906&lt;&gt;"L")),"",IF(I906="W",IF(G906&gt;0,G906/100,1),IF(G906&lt;0,G906/100,-1)))</f>
        <v/>
      </c>
      <c r="I906" s="11" t="inlineStr">
        <is>
          <t>L</t>
        </is>
      </c>
      <c r="J906" s="10" t="inlineStr">
        <is>
          <t>VGK 0, PIT 5</t>
        </is>
      </c>
      <c r="K906" s="10" t="inlineStr">
        <is>
          <t>DraftKings closing</t>
        </is>
      </c>
    </row>
    <row r="907">
      <c r="A907" s="9" t="n">
        <v>46082</v>
      </c>
      <c r="B907" s="10" t="inlineStr">
        <is>
          <t>CHI @ UTA</t>
        </is>
      </c>
      <c r="C907" s="13" t="n">
        <v>58.95</v>
      </c>
      <c r="D907" s="13" t="n">
        <v>88.03</v>
      </c>
      <c r="E907" s="13">
        <f>IF(OR(C907="",D907=""),"",ABS(C907-D907))</f>
        <v/>
      </c>
      <c r="F907" s="11" t="inlineStr">
        <is>
          <t>UTA</t>
        </is>
      </c>
      <c r="G907" s="12" t="n">
        <v>-340</v>
      </c>
      <c r="H907" s="14">
        <f>IF(OR(F907="",G907="",AND(I907&lt;&gt;"W",I907&lt;&gt;"L")),"",IF(I907="W",IF(G907&gt;0,G907/100,1),IF(G907&lt;0,G907/100,-1)))</f>
        <v/>
      </c>
      <c r="I907" s="11" t="inlineStr">
        <is>
          <t>L</t>
        </is>
      </c>
      <c r="J907" s="10" t="inlineStr">
        <is>
          <t>CHI 4, UTA 0</t>
        </is>
      </c>
      <c r="K907" s="10" t="inlineStr">
        <is>
          <t>DraftKings closing</t>
        </is>
      </c>
    </row>
    <row r="908">
      <c r="A908" s="9" t="n">
        <v>46082</v>
      </c>
      <c r="B908" s="10" t="inlineStr">
        <is>
          <t>WPG @ SJS</t>
        </is>
      </c>
      <c r="C908" s="13" t="n">
        <v>67.45</v>
      </c>
      <c r="D908" s="13" t="n">
        <v>79.12</v>
      </c>
      <c r="E908" s="13">
        <f>IF(OR(C908="",D908=""),"",ABS(C908-D908))</f>
        <v/>
      </c>
      <c r="F908" s="11" t="inlineStr">
        <is>
          <t>SJS</t>
        </is>
      </c>
      <c r="G908" s="12" t="n">
        <v>100</v>
      </c>
      <c r="H908" s="14">
        <f>IF(OR(F908="",G908="",AND(I908&lt;&gt;"W",I908&lt;&gt;"L")),"",IF(I908="W",IF(G908&gt;0,G908/100,1),IF(G908&lt;0,G908/100,-1)))</f>
        <v/>
      </c>
      <c r="I908" s="11" t="inlineStr">
        <is>
          <t>W</t>
        </is>
      </c>
      <c r="J908" s="10" t="inlineStr">
        <is>
          <t>WPG 1, SJS 2</t>
        </is>
      </c>
      <c r="K908" s="10" t="inlineStr">
        <is>
          <t>DraftKings closing</t>
        </is>
      </c>
    </row>
    <row r="909">
      <c r="A909" s="9" t="n">
        <v>46082</v>
      </c>
      <c r="B909" s="10" t="inlineStr">
        <is>
          <t>STL @ MIN</t>
        </is>
      </c>
      <c r="C909" s="13" t="n">
        <v>62.11</v>
      </c>
      <c r="D909" s="13" t="n">
        <v>51.97</v>
      </c>
      <c r="E909" s="13">
        <f>IF(OR(C909="",D909=""),"",ABS(C909-D909))</f>
        <v/>
      </c>
      <c r="F909" s="11" t="inlineStr">
        <is>
          <t>STL</t>
        </is>
      </c>
      <c r="G909" s="12" t="n">
        <v>190</v>
      </c>
      <c r="H909" s="14">
        <f>IF(OR(F909="",G909="",AND(I909&lt;&gt;"W",I909&lt;&gt;"L")),"",IF(I909="W",IF(G909&gt;0,G909/100,1),IF(G909&lt;0,G909/100,-1)))</f>
        <v/>
      </c>
      <c r="I909" s="11" t="inlineStr">
        <is>
          <t>W</t>
        </is>
      </c>
      <c r="J909" s="10" t="inlineStr">
        <is>
          <t>STL 3, MIN 1</t>
        </is>
      </c>
      <c r="K909" s="10" t="inlineStr">
        <is>
          <t>DraftKings closing</t>
        </is>
      </c>
    </row>
    <row r="910">
      <c r="A910" s="9" t="n">
        <v>46082</v>
      </c>
      <c r="B910" s="10" t="inlineStr">
        <is>
          <t>FLA @ NYI</t>
        </is>
      </c>
      <c r="C910" s="13" t="n">
        <v>64.05</v>
      </c>
      <c r="D910" s="13" t="n">
        <v>70.97</v>
      </c>
      <c r="E910" s="13">
        <f>IF(OR(C910="",D910=""),"",ABS(C910-D910))</f>
        <v/>
      </c>
      <c r="F910" s="11" t="inlineStr">
        <is>
          <t>NYI</t>
        </is>
      </c>
      <c r="G910" s="12" t="n">
        <v>130</v>
      </c>
      <c r="H910" s="14">
        <f>IF(OR(F910="",G910="",AND(I910&lt;&gt;"W",I910&lt;&gt;"L")),"",IF(I910="W",IF(G910&gt;0,G910/100,1),IF(G910&lt;0,G910/100,-1)))</f>
        <v/>
      </c>
      <c r="I910" s="11" t="inlineStr">
        <is>
          <t>W</t>
        </is>
      </c>
      <c r="J910" s="10" t="inlineStr">
        <is>
          <t>FLA 4, NYI 5</t>
        </is>
      </c>
      <c r="K910" s="10" t="inlineStr">
        <is>
          <t>DraftKings closing</t>
        </is>
      </c>
    </row>
    <row r="911">
      <c r="A911" s="9" t="n">
        <v>46082</v>
      </c>
      <c r="B911" s="10" t="inlineStr">
        <is>
          <t>CGY @ ANA</t>
        </is>
      </c>
      <c r="C911" s="13" t="n">
        <v>66.11</v>
      </c>
      <c r="D911" s="13" t="n">
        <v>72.55</v>
      </c>
      <c r="E911" s="13">
        <f>IF(OR(C911="",D911=""),"",ABS(C911-D911))</f>
        <v/>
      </c>
      <c r="F911" s="11" t="inlineStr">
        <is>
          <t>ANA</t>
        </is>
      </c>
      <c r="G911" s="12" t="n">
        <v>-185</v>
      </c>
      <c r="H911" s="14">
        <f>IF(OR(F911="",G911="",AND(I911&lt;&gt;"W",I911&lt;&gt;"L")),"",IF(I911="W",IF(G911&gt;0,G911/100,1),IF(G911&lt;0,G911/100,-1)))</f>
        <v/>
      </c>
      <c r="I911" s="11" t="inlineStr">
        <is>
          <t>W</t>
        </is>
      </c>
      <c r="J911" s="10" t="inlineStr">
        <is>
          <t>CGY 2, ANA 3</t>
        </is>
      </c>
      <c r="K911" s="10" t="inlineStr">
        <is>
          <t>DraftKings closing</t>
        </is>
      </c>
    </row>
    <row r="912">
      <c r="A912" s="9" t="n">
        <v>46083</v>
      </c>
      <c r="B912" s="10" t="inlineStr">
        <is>
          <t>DET @ NSH</t>
        </is>
      </c>
      <c r="C912" s="13" t="n">
        <v>51.1</v>
      </c>
      <c r="D912" s="13" t="n">
        <v>63.3</v>
      </c>
      <c r="E912" s="13">
        <f>IF(OR(C912="",D912=""),"",ABS(C912-D912))</f>
        <v/>
      </c>
      <c r="F912" s="11" t="inlineStr">
        <is>
          <t>NSH</t>
        </is>
      </c>
      <c r="G912" s="12" t="n">
        <v>-108</v>
      </c>
      <c r="H912" s="14">
        <f>IF(OR(F912="",G912="",AND(I912&lt;&gt;"W",I912&lt;&gt;"L")),"",IF(I912="W",IF(G912&gt;0,G912/100,1),IF(G912&lt;0,G912/100,-1)))</f>
        <v/>
      </c>
      <c r="I912" s="11" t="inlineStr">
        <is>
          <t>L</t>
        </is>
      </c>
      <c r="J912" s="10" t="inlineStr">
        <is>
          <t>DET 4, NSH 2</t>
        </is>
      </c>
      <c r="K912" s="10" t="inlineStr">
        <is>
          <t>DraftKings closing</t>
        </is>
      </c>
    </row>
    <row r="913">
      <c r="A913" s="9" t="n">
        <v>46083</v>
      </c>
      <c r="B913" s="10" t="inlineStr">
        <is>
          <t>CBJ @ NYR</t>
        </is>
      </c>
      <c r="C913" s="13" t="n">
        <v>69.03</v>
      </c>
      <c r="D913" s="13" t="n">
        <v>72.48</v>
      </c>
      <c r="E913" s="13">
        <f>IF(OR(C913="",D913=""),"",ABS(C913-D913))</f>
        <v/>
      </c>
      <c r="F913" s="11" t="inlineStr">
        <is>
          <t>NYR</t>
        </is>
      </c>
      <c r="G913" s="12" t="n">
        <v>-110</v>
      </c>
      <c r="H913" s="14">
        <f>IF(OR(F913="",G913="",AND(I913&lt;&gt;"W",I913&lt;&gt;"L")),"",IF(I913="W",IF(G913&gt;0,G913/100,1),IF(G913&lt;0,G913/100,-1)))</f>
        <v/>
      </c>
      <c r="I913" s="11" t="inlineStr">
        <is>
          <t>L</t>
        </is>
      </c>
      <c r="J913" s="10" t="inlineStr">
        <is>
          <t>CBJ 5, NYR 4</t>
        </is>
      </c>
      <c r="K913" s="10" t="inlineStr">
        <is>
          <t>DraftKings closing</t>
        </is>
      </c>
    </row>
    <row r="914">
      <c r="A914" s="9" t="n">
        <v>46083</v>
      </c>
      <c r="B914" s="10" t="inlineStr">
        <is>
          <t>PHI @ TOR</t>
        </is>
      </c>
      <c r="C914" s="13" t="n">
        <v>72.77</v>
      </c>
      <c r="D914" s="13" t="n">
        <v>49.02</v>
      </c>
      <c r="E914" s="13">
        <f>IF(OR(C914="",D914=""),"",ABS(C914-D914))</f>
        <v/>
      </c>
      <c r="F914" s="11" t="inlineStr">
        <is>
          <t>PHI</t>
        </is>
      </c>
      <c r="G914" s="12" t="n">
        <v>114</v>
      </c>
      <c r="H914" s="14">
        <f>IF(OR(F914="",G914="",AND(I914&lt;&gt;"W",I914&lt;&gt;"L")),"",IF(I914="W",IF(G914&gt;0,G914/100,1),IF(G914&lt;0,G914/100,-1)))</f>
        <v/>
      </c>
      <c r="I914" s="11" t="inlineStr">
        <is>
          <t>W</t>
        </is>
      </c>
      <c r="J914" s="10" t="inlineStr">
        <is>
          <t>PHI 3, TOR 2</t>
        </is>
      </c>
      <c r="K914" s="10" t="inlineStr">
        <is>
          <t>DraftKings closing</t>
        </is>
      </c>
    </row>
    <row r="915">
      <c r="A915" s="9" t="n">
        <v>46083</v>
      </c>
      <c r="B915" s="10" t="inlineStr">
        <is>
          <t>DAL @ VAN</t>
        </is>
      </c>
      <c r="C915" s="13" t="n">
        <v>76.7</v>
      </c>
      <c r="D915" s="13" t="n">
        <v>61</v>
      </c>
      <c r="E915" s="13">
        <f>IF(OR(C915="",D915=""),"",ABS(C915-D915))</f>
        <v/>
      </c>
      <c r="F915" s="11" t="inlineStr">
        <is>
          <t>DAL</t>
        </is>
      </c>
      <c r="G915" s="12" t="n">
        <v>-205</v>
      </c>
      <c r="H915" s="14">
        <f>IF(OR(F915="",G915="",AND(I915&lt;&gt;"W",I915&lt;&gt;"L")),"",IF(I915="W",IF(G915&gt;0,G915/100,1),IF(G915&lt;0,G915/100,-1)))</f>
        <v/>
      </c>
      <c r="I915" s="11" t="inlineStr">
        <is>
          <t>W</t>
        </is>
      </c>
      <c r="J915" s="10" t="inlineStr">
        <is>
          <t>DAL 6, VAN 1</t>
        </is>
      </c>
      <c r="K915" s="10" t="inlineStr">
        <is>
          <t>DraftKings closing</t>
        </is>
      </c>
    </row>
    <row r="916">
      <c r="A916" s="9" t="n">
        <v>46083</v>
      </c>
      <c r="B916" s="10" t="inlineStr">
        <is>
          <t>CAR @ SEA</t>
        </is>
      </c>
      <c r="C916" s="13" t="n">
        <v>88.90000000000001</v>
      </c>
      <c r="D916" s="13" t="n">
        <v>79</v>
      </c>
      <c r="E916" s="13">
        <f>IF(OR(C916="",D916=""),"",ABS(C916-D916))</f>
        <v/>
      </c>
      <c r="F916" s="11" t="inlineStr">
        <is>
          <t>CAR</t>
        </is>
      </c>
      <c r="G916" s="12" t="n">
        <v>-185</v>
      </c>
      <c r="H916" s="14">
        <f>IF(OR(F916="",G916="",AND(I916&lt;&gt;"W",I916&lt;&gt;"L")),"",IF(I916="W",IF(G916&gt;0,G916/100,1),IF(G916&lt;0,G916/100,-1)))</f>
        <v/>
      </c>
      <c r="I916" s="11" t="inlineStr">
        <is>
          <t>L</t>
        </is>
      </c>
      <c r="J916" s="10" t="inlineStr">
        <is>
          <t>CAR 1, SEA 2</t>
        </is>
      </c>
      <c r="K916" s="10" t="inlineStr">
        <is>
          <t>DraftKings closing</t>
        </is>
      </c>
    </row>
    <row r="917">
      <c r="A917" s="9" t="n">
        <v>46083</v>
      </c>
      <c r="B917" s="10" t="inlineStr">
        <is>
          <t>COL @ LAK</t>
        </is>
      </c>
      <c r="C917" s="13" t="n">
        <v>81.05</v>
      </c>
      <c r="D917" s="13" t="n">
        <v>73.89</v>
      </c>
      <c r="E917" s="13">
        <f>IF(OR(C917="",D917=""),"",ABS(C917-D917))</f>
        <v/>
      </c>
      <c r="F917" s="11" t="inlineStr">
        <is>
          <t>COL</t>
        </is>
      </c>
      <c r="G917" s="12" t="n">
        <v>-185</v>
      </c>
      <c r="H917" s="14">
        <f>IF(OR(F917="",G917="",AND(I917&lt;&gt;"W",I917&lt;&gt;"L")),"",IF(I917="W",IF(G917&gt;0,G917/100,1),IF(G917&lt;0,G917/100,-1)))</f>
        <v/>
      </c>
      <c r="I917" s="11" t="inlineStr">
        <is>
          <t>W</t>
        </is>
      </c>
      <c r="J917" s="10" t="inlineStr">
        <is>
          <t>COL 4, LAK 2</t>
        </is>
      </c>
      <c r="K917" s="10" t="inlineStr">
        <is>
          <t>DraftKings closing</t>
        </is>
      </c>
    </row>
    <row r="918">
      <c r="A918" s="9" t="n">
        <v>46084</v>
      </c>
      <c r="B918" s="10" t="inlineStr">
        <is>
          <t>PIT @ BOS</t>
        </is>
      </c>
      <c r="C918" s="13" t="n">
        <v>82.15000000000001</v>
      </c>
      <c r="D918" s="13" t="n">
        <v>67.23</v>
      </c>
      <c r="E918" s="13">
        <f>IF(OR(C918="",D918=""),"",ABS(C918-D918))</f>
        <v/>
      </c>
      <c r="F918" s="11" t="inlineStr">
        <is>
          <t>PIT</t>
        </is>
      </c>
      <c r="G918" s="12" t="n">
        <v>100</v>
      </c>
      <c r="H918" s="14">
        <f>IF(OR(F918="",G918="",AND(I918&lt;&gt;"W",I918&lt;&gt;"L")),"",IF(I918="W",IF(G918&gt;0,G918/100,1),IF(G918&lt;0,G918/100,-1)))</f>
        <v/>
      </c>
      <c r="I918" s="11" t="inlineStr">
        <is>
          <t>L</t>
        </is>
      </c>
      <c r="J918" s="10" t="inlineStr">
        <is>
          <t>PIT 1, BOS 2</t>
        </is>
      </c>
      <c r="K918" s="10" t="inlineStr">
        <is>
          <t>DraftKings closing</t>
        </is>
      </c>
    </row>
    <row r="919">
      <c r="A919" s="9" t="n">
        <v>46084</v>
      </c>
      <c r="B919" s="10" t="inlineStr">
        <is>
          <t>VGK @ BUF</t>
        </is>
      </c>
      <c r="C919" s="13" t="n">
        <v>57.85</v>
      </c>
      <c r="D919" s="13" t="n">
        <v>81.84999999999999</v>
      </c>
      <c r="E919" s="13">
        <f>IF(OR(C919="",D919=""),"",ABS(C919-D919))</f>
        <v/>
      </c>
      <c r="F919" s="11" t="inlineStr">
        <is>
          <t>BUF</t>
        </is>
      </c>
      <c r="G919" s="12" t="n">
        <v>-135</v>
      </c>
      <c r="H919" s="14">
        <f>IF(OR(F919="",G919="",AND(I919&lt;&gt;"W",I919&lt;&gt;"L")),"",IF(I919="W",IF(G919&gt;0,G919/100,1),IF(G919&lt;0,G919/100,-1)))</f>
        <v/>
      </c>
      <c r="I919" s="11" t="inlineStr">
        <is>
          <t>W</t>
        </is>
      </c>
      <c r="J919" s="10" t="inlineStr">
        <is>
          <t>VGK 2, BUF 3</t>
        </is>
      </c>
      <c r="K919" s="10" t="inlineStr">
        <is>
          <t>DraftKings closing</t>
        </is>
      </c>
    </row>
    <row r="920">
      <c r="A920" s="9" t="n">
        <v>46084</v>
      </c>
      <c r="B920" s="10" t="inlineStr">
        <is>
          <t>FLA @ NJD</t>
        </is>
      </c>
      <c r="C920" s="13" t="n">
        <v>76.64</v>
      </c>
      <c r="D920" s="13" t="n">
        <v>77.89</v>
      </c>
      <c r="E920" s="13">
        <f>IF(OR(C920="",D920=""),"",ABS(C920-D920))</f>
        <v/>
      </c>
      <c r="F920" s="11" t="inlineStr">
        <is>
          <t>NJD</t>
        </is>
      </c>
      <c r="G920" s="12" t="n">
        <v>100</v>
      </c>
      <c r="H920" s="14">
        <f>IF(OR(F920="",G920="",AND(I920&lt;&gt;"W",I920&lt;&gt;"L")),"",IF(I920="W",IF(G920&gt;0,G920/100,1),IF(G920&lt;0,G920/100,-1)))</f>
        <v/>
      </c>
      <c r="I920" s="11" t="inlineStr">
        <is>
          <t>W</t>
        </is>
      </c>
      <c r="J920" s="10" t="inlineStr">
        <is>
          <t>FLA 1, NJD 5</t>
        </is>
      </c>
      <c r="K920" s="10" t="inlineStr">
        <is>
          <t>DraftKings closing</t>
        </is>
      </c>
    </row>
    <row r="921">
      <c r="A921" s="9" t="n">
        <v>46084</v>
      </c>
      <c r="B921" s="10" t="inlineStr">
        <is>
          <t>UTA @ WSH</t>
        </is>
      </c>
      <c r="C921" s="13" t="n">
        <v>58.28</v>
      </c>
      <c r="D921" s="13" t="n">
        <v>64.59</v>
      </c>
      <c r="E921" s="13">
        <f>IF(OR(C921="",D921=""),"",ABS(C921-D921))</f>
        <v/>
      </c>
      <c r="F921" s="11" t="inlineStr">
        <is>
          <t>WSH</t>
        </is>
      </c>
      <c r="G921" s="12" t="n">
        <v>-112</v>
      </c>
      <c r="H921" s="14">
        <f>IF(OR(F921="",G921="",AND(I921&lt;&gt;"W",I921&lt;&gt;"L")),"",IF(I921="W",IF(G921&gt;0,G921/100,1),IF(G921&lt;0,G921/100,-1)))</f>
        <v/>
      </c>
      <c r="I921" s="11" t="inlineStr">
        <is>
          <t>L</t>
        </is>
      </c>
      <c r="J921" s="10" t="inlineStr">
        <is>
          <t>UTA 3, WSH 2</t>
        </is>
      </c>
      <c r="K921" s="10" t="inlineStr">
        <is>
          <t>DraftKings closing</t>
        </is>
      </c>
    </row>
    <row r="922">
      <c r="A922" s="9" t="n">
        <v>46084</v>
      </c>
      <c r="B922" s="10" t="inlineStr">
        <is>
          <t>NSH @ CBJ</t>
        </is>
      </c>
      <c r="C922" s="13" t="n">
        <v>70.31</v>
      </c>
      <c r="D922" s="13" t="n">
        <v>70.51000000000001</v>
      </c>
      <c r="E922" s="13">
        <f>IF(OR(C922="",D922=""),"",ABS(C922-D922))</f>
        <v/>
      </c>
      <c r="F922" s="11" t="inlineStr">
        <is>
          <t>CBJ</t>
        </is>
      </c>
      <c r="G922" s="12" t="n">
        <v>-130</v>
      </c>
      <c r="H922" s="14">
        <f>IF(OR(F922="",G922="",AND(I922&lt;&gt;"W",I922&lt;&gt;"L")),"",IF(I922="W",IF(G922&gt;0,G922/100,1),IF(G922&lt;0,G922/100,-1)))</f>
        <v/>
      </c>
      <c r="I922" s="11" t="inlineStr">
        <is>
          <t>W</t>
        </is>
      </c>
      <c r="J922" s="10" t="inlineStr">
        <is>
          <t>NSH 2, CBJ 3</t>
        </is>
      </c>
      <c r="K922" s="10" t="inlineStr">
        <is>
          <t>DraftKings closing</t>
        </is>
      </c>
    </row>
    <row r="923">
      <c r="A923" s="9" t="n">
        <v>46084</v>
      </c>
      <c r="B923" s="10" t="inlineStr">
        <is>
          <t>CHI @ WPG</t>
        </is>
      </c>
      <c r="C923" s="13" t="n">
        <v>81.72</v>
      </c>
      <c r="D923" s="13" t="n">
        <v>63.65</v>
      </c>
      <c r="E923" s="13">
        <f>IF(OR(C923="",D923=""),"",ABS(C923-D923))</f>
        <v/>
      </c>
      <c r="F923" s="11" t="inlineStr">
        <is>
          <t>CHI</t>
        </is>
      </c>
      <c r="G923" s="12" t="n">
        <v>124</v>
      </c>
      <c r="H923" s="14">
        <f>IF(OR(F923="",G923="",AND(I923&lt;&gt;"W",I923&lt;&gt;"L")),"",IF(I923="W",IF(G923&gt;0,G923/100,1),IF(G923&lt;0,G923/100,-1)))</f>
        <v/>
      </c>
      <c r="I923" s="11" t="inlineStr">
        <is>
          <t>L</t>
        </is>
      </c>
      <c r="J923" s="10" t="inlineStr">
        <is>
          <t>CHI 2, WPG 3</t>
        </is>
      </c>
      <c r="K923" s="10" t="inlineStr">
        <is>
          <t>DraftKings closing</t>
        </is>
      </c>
    </row>
    <row r="924">
      <c r="A924" s="9" t="n">
        <v>46084</v>
      </c>
      <c r="B924" s="10" t="inlineStr">
        <is>
          <t>DAL @ CGY</t>
        </is>
      </c>
      <c r="C924" s="13" t="n">
        <v>100</v>
      </c>
      <c r="D924" s="13" t="n">
        <v>72.39</v>
      </c>
      <c r="E924" s="13">
        <f>IF(OR(C924="",D924=""),"",ABS(C924-D924))</f>
        <v/>
      </c>
      <c r="F924" s="11" t="inlineStr">
        <is>
          <t>DAL</t>
        </is>
      </c>
      <c r="G924" s="12" t="n">
        <v>-130</v>
      </c>
      <c r="H924" s="14">
        <f>IF(OR(F924="",G924="",AND(I924&lt;&gt;"W",I924&lt;&gt;"L")),"",IF(I924="W",IF(G924&gt;0,G924/100,1),IF(G924&lt;0,G924/100,-1)))</f>
        <v/>
      </c>
      <c r="I924" s="11" t="inlineStr">
        <is>
          <t>W</t>
        </is>
      </c>
      <c r="J924" s="10" t="inlineStr">
        <is>
          <t>DAL 6, CGY 1</t>
        </is>
      </c>
      <c r="K924" s="10" t="inlineStr">
        <is>
          <t>DraftKings closing</t>
        </is>
      </c>
    </row>
    <row r="925">
      <c r="A925" s="9" t="n">
        <v>46084</v>
      </c>
      <c r="B925" s="10" t="inlineStr">
        <is>
          <t>OTT @ EDM</t>
        </is>
      </c>
      <c r="C925" s="13" t="n">
        <v>90.98</v>
      </c>
      <c r="D925" s="13" t="n">
        <v>60.88</v>
      </c>
      <c r="E925" s="13">
        <f>IF(OR(C925="",D925=""),"",ABS(C925-D925))</f>
        <v/>
      </c>
      <c r="F925" s="11" t="inlineStr">
        <is>
          <t>OTT</t>
        </is>
      </c>
      <c r="G925" s="12" t="n">
        <v>100</v>
      </c>
      <c r="H925" s="14">
        <f>IF(OR(F925="",G925="",AND(I925&lt;&gt;"W",I925&lt;&gt;"L")),"",IF(I925="W",IF(G925&gt;0,G925/100,1),IF(G925&lt;0,G925/100,-1)))</f>
        <v/>
      </c>
      <c r="I925" s="11" t="inlineStr">
        <is>
          <t>L</t>
        </is>
      </c>
      <c r="J925" s="10" t="inlineStr">
        <is>
          <t>OTT 4, EDM 5</t>
        </is>
      </c>
      <c r="K925" s="10" t="inlineStr">
        <is>
          <t>DraftKings closing</t>
        </is>
      </c>
    </row>
    <row r="926">
      <c r="A926" s="9" t="n">
        <v>46084</v>
      </c>
      <c r="B926" s="10" t="inlineStr">
        <is>
          <t>TBL @ MIN</t>
        </is>
      </c>
      <c r="C926" s="13" t="n">
        <v>58.15</v>
      </c>
      <c r="D926" s="13" t="n">
        <v>66.45</v>
      </c>
      <c r="E926" s="13">
        <f>IF(OR(C926="",D926=""),"",ABS(C926-D926))</f>
        <v/>
      </c>
      <c r="F926" s="11" t="inlineStr">
        <is>
          <t>MIN</t>
        </is>
      </c>
      <c r="G926" s="12" t="n">
        <v>120</v>
      </c>
      <c r="H926" s="14">
        <f>IF(OR(F926="",G926="",AND(I926&lt;&gt;"W",I926&lt;&gt;"L")),"",IF(I926="W",IF(G926&gt;0,G926/100,1),IF(G926&lt;0,G926/100,-1)))</f>
        <v/>
      </c>
      <c r="I926" s="11" t="inlineStr">
        <is>
          <t>W</t>
        </is>
      </c>
      <c r="J926" s="10" t="inlineStr">
        <is>
          <t>TBL 1, MIN 5</t>
        </is>
      </c>
      <c r="K926" s="10" t="inlineStr">
        <is>
          <t>DraftKings closing</t>
        </is>
      </c>
    </row>
    <row r="927">
      <c r="A927" s="9" t="n">
        <v>46084</v>
      </c>
      <c r="B927" s="10" t="inlineStr">
        <is>
          <t>COL @ ANA</t>
        </is>
      </c>
      <c r="C927" s="13" t="n">
        <v>89.09</v>
      </c>
      <c r="D927" s="13" t="n">
        <v>67.61</v>
      </c>
      <c r="E927" s="13">
        <f>IF(OR(C927="",D927=""),"",ABS(C927-D927))</f>
        <v/>
      </c>
      <c r="F927" s="11" t="inlineStr">
        <is>
          <t>COL</t>
        </is>
      </c>
      <c r="G927" s="12" t="n">
        <v>-148</v>
      </c>
      <c r="H927" s="14">
        <f>IF(OR(F927="",G927="",AND(I927&lt;&gt;"W",I927&lt;&gt;"L")),"",IF(I927="W",IF(G927&gt;0,G927/100,1),IF(G927&lt;0,G927/100,-1)))</f>
        <v/>
      </c>
      <c r="I927" s="11" t="inlineStr">
        <is>
          <t>W</t>
        </is>
      </c>
      <c r="J927" s="10" t="inlineStr">
        <is>
          <t>COL 5, ANA 1</t>
        </is>
      </c>
      <c r="K927" s="10" t="inlineStr">
        <is>
          <t>DraftKings closing</t>
        </is>
      </c>
    </row>
    <row r="928">
      <c r="A928" s="9" t="n">
        <v>46084</v>
      </c>
      <c r="B928" s="10" t="inlineStr">
        <is>
          <t>MTL @ SJS</t>
        </is>
      </c>
      <c r="C928" s="13" t="n">
        <v>75.41</v>
      </c>
      <c r="D928" s="13" t="n">
        <v>76.34999999999999</v>
      </c>
      <c r="E928" s="13">
        <f>IF(OR(C928="",D928=""),"",ABS(C928-D928))</f>
        <v/>
      </c>
      <c r="F928" s="11" t="inlineStr">
        <is>
          <t>SJS</t>
        </is>
      </c>
      <c r="G928" s="12" t="n">
        <v>114</v>
      </c>
      <c r="H928" s="14">
        <f>IF(OR(F928="",G928="",AND(I928&lt;&gt;"W",I928&lt;&gt;"L")),"",IF(I928="W",IF(G928&gt;0,G928/100,1),IF(G928&lt;0,G928/100,-1)))</f>
        <v/>
      </c>
      <c r="I928" s="11" t="inlineStr">
        <is>
          <t>W</t>
        </is>
      </c>
      <c r="J928" s="10" t="inlineStr">
        <is>
          <t>MTL 5, SJS 7</t>
        </is>
      </c>
      <c r="K928" s="10" t="inlineStr">
        <is>
          <t>DraftKings closing</t>
        </is>
      </c>
    </row>
    <row r="929">
      <c r="A929" s="9" t="n">
        <v>46085</v>
      </c>
      <c r="B929" s="10" t="inlineStr">
        <is>
          <t>VGK @ DET</t>
        </is>
      </c>
      <c r="C929" s="13" t="n">
        <v>66.58</v>
      </c>
      <c r="D929" s="13" t="n">
        <v>69.69</v>
      </c>
      <c r="E929" s="13">
        <f>IF(OR(C929="",D929=""),"",ABS(C929-D929))</f>
        <v/>
      </c>
      <c r="F929" s="11" t="inlineStr">
        <is>
          <t>DET</t>
        </is>
      </c>
      <c r="G929" s="12" t="n">
        <v>-135</v>
      </c>
      <c r="H929" s="14">
        <f>IF(OR(F929="",G929="",AND(I929&lt;&gt;"W",I929&lt;&gt;"L")),"",IF(I929="W",IF(G929&gt;0,G929/100,1),IF(G929&lt;0,G929/100,-1)))</f>
        <v/>
      </c>
      <c r="I929" s="11" t="inlineStr">
        <is>
          <t>L</t>
        </is>
      </c>
      <c r="J929" s="10" t="inlineStr">
        <is>
          <t>VGK 4, DET 3</t>
        </is>
      </c>
      <c r="K929" s="10" t="inlineStr">
        <is>
          <t>DraftKings closing</t>
        </is>
      </c>
    </row>
    <row r="930">
      <c r="A930" s="9" t="n">
        <v>46085</v>
      </c>
      <c r="B930" s="10" t="inlineStr">
        <is>
          <t>TOR @ NJD</t>
        </is>
      </c>
      <c r="C930" s="13" t="n">
        <v>72.41</v>
      </c>
      <c r="D930" s="13" t="n">
        <v>78.97</v>
      </c>
      <c r="E930" s="13">
        <f>IF(OR(C930="",D930=""),"",ABS(C930-D930))</f>
        <v/>
      </c>
      <c r="F930" s="11" t="inlineStr">
        <is>
          <t>NJD</t>
        </is>
      </c>
      <c r="G930" s="12" t="n">
        <v>-125</v>
      </c>
      <c r="H930" s="14">
        <f>IF(OR(F930="",G930="",AND(I930&lt;&gt;"W",I930&lt;&gt;"L")),"",IF(I930="W",IF(G930&gt;0,G930/100,1),IF(G930&lt;0,G930/100,-1)))</f>
        <v/>
      </c>
      <c r="I930" s="11" t="inlineStr">
        <is>
          <t>W</t>
        </is>
      </c>
      <c r="J930" s="10" t="inlineStr">
        <is>
          <t>TOR 3, NJD 4</t>
        </is>
      </c>
      <c r="K930" s="10" t="inlineStr">
        <is>
          <t>DraftKings closing</t>
        </is>
      </c>
    </row>
    <row r="931">
      <c r="A931" s="9" t="n">
        <v>46085</v>
      </c>
      <c r="B931" s="10" t="inlineStr">
        <is>
          <t>CAR @ VAN</t>
        </is>
      </c>
      <c r="C931" s="13" t="n">
        <v>82.81</v>
      </c>
      <c r="D931" s="13" t="n">
        <v>35.06</v>
      </c>
      <c r="E931" s="13">
        <f>IF(OR(C931="",D931=""),"",ABS(C931-D931))</f>
        <v/>
      </c>
      <c r="F931" s="11" t="inlineStr">
        <is>
          <t>CAR</t>
        </is>
      </c>
      <c r="G931" s="12" t="n">
        <v>-340</v>
      </c>
      <c r="H931" s="14">
        <f>IF(OR(F931="",G931="",AND(I931&lt;&gt;"W",I931&lt;&gt;"L")),"",IF(I931="W",IF(G931&gt;0,G931/100,1),IF(G931&lt;0,G931/100,-1)))</f>
        <v/>
      </c>
      <c r="I931" s="11" t="inlineStr">
        <is>
          <t>W</t>
        </is>
      </c>
      <c r="J931" s="10" t="inlineStr">
        <is>
          <t>CAR 6, VAN 4</t>
        </is>
      </c>
      <c r="K931" s="10" t="inlineStr">
        <is>
          <t>DraftKings closing</t>
        </is>
      </c>
    </row>
    <row r="932">
      <c r="A932" s="9" t="n">
        <v>46085</v>
      </c>
      <c r="B932" s="10" t="inlineStr">
        <is>
          <t>NYI @ ANA</t>
        </is>
      </c>
      <c r="C932" s="13" t="n">
        <v>63.36</v>
      </c>
      <c r="D932" s="13" t="n">
        <v>54.42</v>
      </c>
      <c r="E932" s="13">
        <f>IF(OR(C932="",D932=""),"",ABS(C932-D932))</f>
        <v/>
      </c>
      <c r="F932" s="11" t="inlineStr">
        <is>
          <t>NYI</t>
        </is>
      </c>
      <c r="G932" s="12" t="n">
        <v>-125</v>
      </c>
      <c r="H932" s="14">
        <f>IF(OR(F932="",G932="",AND(I932&lt;&gt;"W",I932&lt;&gt;"L")),"",IF(I932="W",IF(G932&gt;0,G932/100,1),IF(G932&lt;0,G932/100,-1)))</f>
        <v/>
      </c>
      <c r="I932" s="11" t="inlineStr">
        <is>
          <t>L</t>
        </is>
      </c>
      <c r="J932" s="10" t="inlineStr">
        <is>
          <t>NYI 1, ANA 5</t>
        </is>
      </c>
      <c r="K932" s="10" t="inlineStr">
        <is>
          <t>DraftKings closing</t>
        </is>
      </c>
    </row>
    <row r="933">
      <c r="A933" s="9" t="n">
        <v>46085</v>
      </c>
      <c r="B933" s="10" t="inlineStr">
        <is>
          <t>STL @ SEA</t>
        </is>
      </c>
      <c r="C933" s="13" t="n">
        <v>73.55</v>
      </c>
      <c r="D933" s="13" t="n">
        <v>57.19</v>
      </c>
      <c r="E933" s="13">
        <f>IF(OR(C933="",D933=""),"",ABS(C933-D933))</f>
        <v/>
      </c>
      <c r="F933" s="11" t="inlineStr">
        <is>
          <t>STL</t>
        </is>
      </c>
      <c r="G933" s="12" t="n">
        <v>124</v>
      </c>
      <c r="H933" s="14">
        <f>IF(OR(F933="",G933="",AND(I933&lt;&gt;"W",I933&lt;&gt;"L")),"",IF(I933="W",IF(G933&gt;0,G933/100,1),IF(G933&lt;0,G933/100,-1)))</f>
        <v/>
      </c>
      <c r="I933" s="11" t="inlineStr">
        <is>
          <t>W</t>
        </is>
      </c>
      <c r="J933" s="10" t="inlineStr">
        <is>
          <t>STL 3, SEA 2</t>
        </is>
      </c>
      <c r="K933" s="10" t="inlineStr">
        <is>
          <t>DraftKings closing</t>
        </is>
      </c>
    </row>
    <row r="934">
      <c r="A934" s="9" t="n">
        <v>46086</v>
      </c>
      <c r="B934" s="10" t="inlineStr">
        <is>
          <t>TOR @ NYR</t>
        </is>
      </c>
      <c r="C934" s="13" t="n">
        <v>61.04</v>
      </c>
      <c r="D934" s="13" t="n">
        <v>69.48999999999999</v>
      </c>
      <c r="E934" s="13">
        <f>IF(OR(C934="",D934=""),"",ABS(C934-D934))</f>
        <v/>
      </c>
      <c r="F934" s="11" t="inlineStr">
        <is>
          <t>NYR</t>
        </is>
      </c>
      <c r="G934" s="12" t="n">
        <v>-130</v>
      </c>
      <c r="H934" s="14">
        <f>IF(OR(F934="",G934="",AND(I934&lt;&gt;"W",I934&lt;&gt;"L")),"",IF(I934="W",IF(G934&gt;0,G934/100,1),IF(G934&lt;0,G934/100,-1)))</f>
        <v/>
      </c>
      <c r="I934" s="11" t="inlineStr">
        <is>
          <t>W</t>
        </is>
      </c>
      <c r="J934" s="10" t="inlineStr">
        <is>
          <t>TOR 2, NYR 6</t>
        </is>
      </c>
      <c r="K934" s="10" t="inlineStr">
        <is>
          <t>DraftKings closing</t>
        </is>
      </c>
    </row>
    <row r="935">
      <c r="A935" s="9" t="n">
        <v>46086</v>
      </c>
      <c r="B935" s="10" t="inlineStr">
        <is>
          <t>UTA @ PHI</t>
        </is>
      </c>
      <c r="C935" s="13" t="n">
        <v>83.04000000000001</v>
      </c>
      <c r="D935" s="13" t="n">
        <v>67.59</v>
      </c>
      <c r="E935" s="13">
        <f>IF(OR(C935="",D935=""),"",ABS(C935-D935))</f>
        <v/>
      </c>
      <c r="F935" s="11" t="inlineStr">
        <is>
          <t>UTA</t>
        </is>
      </c>
      <c r="G935" s="12" t="n">
        <v>-120</v>
      </c>
      <c r="H935" s="14">
        <f>IF(OR(F935="",G935="",AND(I935&lt;&gt;"W",I935&lt;&gt;"L")),"",IF(I935="W",IF(G935&gt;0,G935/100,1),IF(G935&lt;0,G935/100,-1)))</f>
        <v/>
      </c>
      <c r="I935" s="11" t="inlineStr">
        <is>
          <t>W</t>
        </is>
      </c>
      <c r="J935" s="10" t="inlineStr">
        <is>
          <t>UTA 3, PHI 0</t>
        </is>
      </c>
      <c r="K935" s="10" t="inlineStr">
        <is>
          <t>DraftKings closing</t>
        </is>
      </c>
    </row>
    <row r="936">
      <c r="A936" s="9" t="n">
        <v>46086</v>
      </c>
      <c r="B936" s="10" t="inlineStr">
        <is>
          <t>BUF @ PIT</t>
        </is>
      </c>
      <c r="C936" s="13" t="n">
        <v>73.42</v>
      </c>
      <c r="D936" s="13" t="n">
        <v>65.18000000000001</v>
      </c>
      <c r="E936" s="13">
        <f>IF(OR(C936="",D936=""),"",ABS(C936-D936))</f>
        <v/>
      </c>
      <c r="F936" s="11" t="inlineStr">
        <is>
          <t>BUF</t>
        </is>
      </c>
      <c r="G936" s="12" t="n">
        <v>-115</v>
      </c>
      <c r="H936" s="14">
        <f>IF(OR(F936="",G936="",AND(I936&lt;&gt;"W",I936&lt;&gt;"L")),"",IF(I936="W",IF(G936&gt;0,G936/100,1),IF(G936&lt;0,G936/100,-1)))</f>
        <v/>
      </c>
      <c r="I936" s="11" t="inlineStr">
        <is>
          <t>W</t>
        </is>
      </c>
      <c r="J936" s="10" t="inlineStr">
        <is>
          <t>BUF 5, PIT 1</t>
        </is>
      </c>
      <c r="K936" s="10" t="inlineStr">
        <is>
          <t>DraftKings closing</t>
        </is>
      </c>
    </row>
    <row r="937">
      <c r="A937" s="9" t="n">
        <v>46086</v>
      </c>
      <c r="B937" s="10" t="inlineStr">
        <is>
          <t>FLA @ CBJ</t>
        </is>
      </c>
      <c r="C937" s="13" t="n">
        <v>61.03</v>
      </c>
      <c r="D937" s="13" t="n">
        <v>76.11</v>
      </c>
      <c r="E937" s="13">
        <f>IF(OR(C937="",D937=""),"",ABS(C937-D937))</f>
        <v/>
      </c>
      <c r="F937" s="11" t="inlineStr">
        <is>
          <t>CBJ</t>
        </is>
      </c>
      <c r="G937" s="12" t="n">
        <v>-115</v>
      </c>
      <c r="H937" s="14">
        <f>IF(OR(F937="",G937="",AND(I937&lt;&gt;"W",I937&lt;&gt;"L")),"",IF(I937="W",IF(G937&gt;0,G937/100,1),IF(G937&lt;0,G937/100,-1)))</f>
        <v/>
      </c>
      <c r="I937" s="11" t="inlineStr">
        <is>
          <t>W</t>
        </is>
      </c>
      <c r="J937" s="10" t="inlineStr">
        <is>
          <t>FLA 2, CBJ 4</t>
        </is>
      </c>
      <c r="K937" s="10" t="inlineStr">
        <is>
          <t>DraftKings closing</t>
        </is>
      </c>
    </row>
    <row r="938">
      <c r="A938" s="9" t="n">
        <v>46086</v>
      </c>
      <c r="B938" s="10" t="inlineStr">
        <is>
          <t>BOS @ NSH</t>
        </is>
      </c>
      <c r="C938" s="13" t="n">
        <v>74.81999999999999</v>
      </c>
      <c r="D938" s="13" t="n">
        <v>63.89</v>
      </c>
      <c r="E938" s="13">
        <f>IF(OR(C938="",D938=""),"",ABS(C938-D938))</f>
        <v/>
      </c>
      <c r="F938" s="11" t="inlineStr">
        <is>
          <t>BOS</t>
        </is>
      </c>
      <c r="G938" s="12" t="n">
        <v>-110</v>
      </c>
      <c r="H938" s="14">
        <f>IF(OR(F938="",G938="",AND(I938&lt;&gt;"W",I938&lt;&gt;"L")),"",IF(I938="W",IF(G938&gt;0,G938/100,1),IF(G938&lt;0,G938/100,-1)))</f>
        <v/>
      </c>
      <c r="I938" s="11" t="inlineStr">
        <is>
          <t>L</t>
        </is>
      </c>
      <c r="J938" s="10" t="inlineStr">
        <is>
          <t>BOS 3, NSH 6</t>
        </is>
      </c>
      <c r="K938" s="10" t="inlineStr">
        <is>
          <t>DraftKings closing</t>
        </is>
      </c>
    </row>
    <row r="939">
      <c r="A939" s="9" t="n">
        <v>46086</v>
      </c>
      <c r="B939" s="10" t="inlineStr">
        <is>
          <t>TBL @ WPG</t>
        </is>
      </c>
      <c r="C939" s="13" t="n">
        <v>61.2</v>
      </c>
      <c r="D939" s="13" t="n">
        <v>78.06999999999999</v>
      </c>
      <c r="E939" s="13">
        <f>IF(OR(C939="",D939=""),"",ABS(C939-D939))</f>
        <v/>
      </c>
      <c r="F939" s="11" t="inlineStr">
        <is>
          <t>WPG</t>
        </is>
      </c>
      <c r="G939" s="12" t="n">
        <v>170</v>
      </c>
      <c r="H939" s="14">
        <f>IF(OR(F939="",G939="",AND(I939&lt;&gt;"W",I939&lt;&gt;"L")),"",IF(I939="W",IF(G939&gt;0,G939/100,1),IF(G939&lt;0,G939/100,-1)))</f>
        <v/>
      </c>
      <c r="I939" s="11" t="inlineStr">
        <is>
          <t>W</t>
        </is>
      </c>
      <c r="J939" s="10" t="inlineStr">
        <is>
          <t>TBL 1, WPG 4</t>
        </is>
      </c>
      <c r="K939" s="10" t="inlineStr">
        <is>
          <t>DraftKings closing</t>
        </is>
      </c>
    </row>
    <row r="940">
      <c r="A940" s="9" t="n">
        <v>46086</v>
      </c>
      <c r="B940" s="10" t="inlineStr">
        <is>
          <t>OTT @ CGY</t>
        </is>
      </c>
      <c r="C940" s="13" t="n">
        <v>60.83</v>
      </c>
      <c r="D940" s="13" t="n">
        <v>43.66</v>
      </c>
      <c r="E940" s="13">
        <f>IF(OR(C940="",D940=""),"",ABS(C940-D940))</f>
        <v/>
      </c>
      <c r="F940" s="11" t="inlineStr">
        <is>
          <t>OTT</t>
        </is>
      </c>
      <c r="G940" s="12" t="n">
        <v>-180</v>
      </c>
      <c r="H940" s="14">
        <f>IF(OR(F940="",G940="",AND(I940&lt;&gt;"W",I940&lt;&gt;"L")),"",IF(I940="W",IF(G940&gt;0,G940/100,1),IF(G940&lt;0,G940/100,-1)))</f>
        <v/>
      </c>
      <c r="I940" s="11" t="inlineStr">
        <is>
          <t>W</t>
        </is>
      </c>
      <c r="J940" s="10" t="inlineStr">
        <is>
          <t>OTT 4, CGY 1</t>
        </is>
      </c>
      <c r="K940" s="10" t="inlineStr">
        <is>
          <t>DraftKings closing</t>
        </is>
      </c>
    </row>
    <row r="941">
      <c r="A941" s="9" t="n">
        <v>46086</v>
      </c>
      <c r="B941" s="10" t="inlineStr">
        <is>
          <t>NYI @ LAK</t>
        </is>
      </c>
      <c r="C941" s="13" t="n">
        <v>60.78</v>
      </c>
      <c r="D941" s="13" t="n">
        <v>50.91</v>
      </c>
      <c r="E941" s="13">
        <f>IF(OR(C941="",D941=""),"",ABS(C941-D941))</f>
        <v/>
      </c>
      <c r="F941" s="11" t="inlineStr">
        <is>
          <t>NYI</t>
        </is>
      </c>
      <c r="G941" s="12" t="n">
        <v>100</v>
      </c>
      <c r="H941" s="14">
        <f>IF(OR(F941="",G941="",AND(I941&lt;&gt;"W",I941&lt;&gt;"L")),"",IF(I941="W",IF(G941&gt;0,G941/100,1),IF(G941&lt;0,G941/100,-1)))</f>
        <v/>
      </c>
      <c r="I941" s="11" t="inlineStr">
        <is>
          <t>L</t>
        </is>
      </c>
      <c r="J941" s="10" t="inlineStr">
        <is>
          <t>NYI 3, LAK 5</t>
        </is>
      </c>
      <c r="K941" s="10" t="inlineStr">
        <is>
          <t>DraftKings closing</t>
        </is>
      </c>
    </row>
    <row r="942">
      <c r="A942" s="9" t="n">
        <v>46087</v>
      </c>
      <c r="B942" s="10" t="inlineStr">
        <is>
          <t>FLA @ DET</t>
        </is>
      </c>
      <c r="C942" s="13" t="n">
        <v>73.56999999999999</v>
      </c>
      <c r="D942" s="13" t="n">
        <v>62.94</v>
      </c>
      <c r="E942" s="13">
        <f>IF(OR(C942="",D942=""),"",ABS(C942-D942))</f>
        <v/>
      </c>
      <c r="F942" s="11" t="inlineStr">
        <is>
          <t>FLA</t>
        </is>
      </c>
      <c r="G942" s="12" t="n">
        <v>124</v>
      </c>
      <c r="H942" s="14">
        <f>IF(OR(F942="",G942="",AND(I942&lt;&gt;"W",I942&lt;&gt;"L")),"",IF(I942="W",IF(G942&gt;0,G942/100,1),IF(G942&lt;0,G942/100,-1)))</f>
        <v/>
      </c>
      <c r="I942" s="11" t="inlineStr">
        <is>
          <t>W</t>
        </is>
      </c>
      <c r="J942" s="10" t="inlineStr">
        <is>
          <t>FLA 3, DET 1</t>
        </is>
      </c>
      <c r="K942" s="10" t="inlineStr">
        <is>
          <t>DraftKings closing</t>
        </is>
      </c>
    </row>
    <row r="943">
      <c r="A943" s="9" t="n">
        <v>46087</v>
      </c>
      <c r="B943" s="10" t="inlineStr">
        <is>
          <t>COL @ DAL</t>
        </is>
      </c>
      <c r="C943" s="13" t="n">
        <v>85.58</v>
      </c>
      <c r="D943" s="13" t="n">
        <v>96.34</v>
      </c>
      <c r="E943" s="13">
        <f>IF(OR(C943="",D943=""),"",ABS(C943-D943))</f>
        <v/>
      </c>
      <c r="F943" s="11" t="inlineStr">
        <is>
          <t>DAL</t>
        </is>
      </c>
      <c r="G943" s="12" t="n">
        <v>102</v>
      </c>
      <c r="H943" s="14">
        <f>IF(OR(F943="",G943="",AND(I943&lt;&gt;"W",I943&lt;&gt;"L")),"",IF(I943="W",IF(G943&gt;0,G943/100,1),IF(G943&lt;0,G943/100,-1)))</f>
        <v/>
      </c>
      <c r="I943" s="11" t="inlineStr">
        <is>
          <t>L</t>
        </is>
      </c>
      <c r="J943" s="10" t="inlineStr">
        <is>
          <t>COL 5, DAL 4</t>
        </is>
      </c>
      <c r="K943" s="10" t="inlineStr">
        <is>
          <t>DraftKings closing</t>
        </is>
      </c>
    </row>
    <row r="944">
      <c r="A944" s="9" t="n">
        <v>46087</v>
      </c>
      <c r="B944" s="10" t="inlineStr">
        <is>
          <t>VAN @ CHI</t>
        </is>
      </c>
      <c r="C944" s="13" t="n">
        <v>56.42</v>
      </c>
      <c r="D944" s="13" t="n">
        <v>61.93</v>
      </c>
      <c r="E944" s="13">
        <f>IF(OR(C944="",D944=""),"",ABS(C944-D944))</f>
        <v/>
      </c>
      <c r="F944" s="11" t="inlineStr">
        <is>
          <t>CHI</t>
        </is>
      </c>
      <c r="G944" s="12" t="n">
        <v>-155</v>
      </c>
      <c r="H944" s="14">
        <f>IF(OR(F944="",G944="",AND(I944&lt;&gt;"W",I944&lt;&gt;"L")),"",IF(I944="W",IF(G944&gt;0,G944/100,1),IF(G944&lt;0,G944/100,-1)))</f>
        <v/>
      </c>
      <c r="I944" s="11" t="inlineStr">
        <is>
          <t>L</t>
        </is>
      </c>
      <c r="J944" s="10" t="inlineStr">
        <is>
          <t>VAN 6, CHI 3</t>
        </is>
      </c>
      <c r="K944" s="10" t="inlineStr">
        <is>
          <t>DraftKings closing</t>
        </is>
      </c>
    </row>
    <row r="945">
      <c r="A945" s="9" t="n">
        <v>46087</v>
      </c>
      <c r="B945" s="10" t="inlineStr">
        <is>
          <t>CAR @ EDM</t>
        </is>
      </c>
      <c r="C945" s="13" t="n">
        <v>83.58</v>
      </c>
      <c r="D945" s="13" t="n">
        <v>79.17</v>
      </c>
      <c r="E945" s="13">
        <f>IF(OR(C945="",D945=""),"",ABS(C945-D945))</f>
        <v/>
      </c>
      <c r="F945" s="11" t="inlineStr">
        <is>
          <t>CAR</t>
        </is>
      </c>
      <c r="G945" s="12" t="n">
        <v>-112</v>
      </c>
      <c r="H945" s="14">
        <f>IF(OR(F945="",G945="",AND(I945&lt;&gt;"W",I945&lt;&gt;"L")),"",IF(I945="W",IF(G945&gt;0,G945/100,1),IF(G945&lt;0,G945/100,-1)))</f>
        <v/>
      </c>
      <c r="I945" s="11" t="inlineStr">
        <is>
          <t>W</t>
        </is>
      </c>
      <c r="J945" s="10" t="inlineStr">
        <is>
          <t>CAR 6, EDM 3</t>
        </is>
      </c>
      <c r="K945" s="10" t="inlineStr">
        <is>
          <t>DraftKings closing</t>
        </is>
      </c>
    </row>
    <row r="946">
      <c r="A946" s="9" t="n">
        <v>46087</v>
      </c>
      <c r="B946" s="10" t="inlineStr">
        <is>
          <t>MTL @ ANA</t>
        </is>
      </c>
      <c r="C946" s="13" t="n">
        <v>69.97</v>
      </c>
      <c r="D946" s="13" t="n">
        <v>79.22</v>
      </c>
      <c r="E946" s="13">
        <f>IF(OR(C946="",D946=""),"",ABS(C946-D946))</f>
        <v/>
      </c>
      <c r="F946" s="11" t="inlineStr">
        <is>
          <t>ANA</t>
        </is>
      </c>
      <c r="G946" s="12" t="n">
        <v>-102</v>
      </c>
      <c r="H946" s="14">
        <f>IF(OR(F946="",G946="",AND(I946&lt;&gt;"W",I946&lt;&gt;"L")),"",IF(I946="W",IF(G946&gt;0,G946/100,1),IF(G946&lt;0,G946/100,-1)))</f>
        <v/>
      </c>
      <c r="I946" s="11" t="inlineStr">
        <is>
          <t>W</t>
        </is>
      </c>
      <c r="J946" s="10" t="inlineStr">
        <is>
          <t>MTL 5, ANA 6</t>
        </is>
      </c>
      <c r="K946" s="10" t="inlineStr">
        <is>
          <t>DraftKings closing</t>
        </is>
      </c>
    </row>
    <row r="947">
      <c r="A947" s="9" t="n">
        <v>46087</v>
      </c>
      <c r="B947" s="10" t="inlineStr">
        <is>
          <t>MIN @ VGK</t>
        </is>
      </c>
      <c r="C947" s="13" t="n">
        <v>78.8</v>
      </c>
      <c r="D947" s="13" t="n">
        <v>77.06</v>
      </c>
      <c r="E947" s="13">
        <f>IF(OR(C947="",D947=""),"",ABS(C947-D947))</f>
        <v/>
      </c>
      <c r="F947" s="11" t="inlineStr">
        <is>
          <t>MIN</t>
        </is>
      </c>
      <c r="G947" s="12" t="n">
        <v>-118</v>
      </c>
      <c r="H947" s="14">
        <f>IF(OR(F947="",G947="",AND(I947&lt;&gt;"W",I947&lt;&gt;"L")),"",IF(I947="W",IF(G947&gt;0,G947/100,1),IF(G947&lt;0,G947/100,-1)))</f>
        <v/>
      </c>
      <c r="I947" s="11" t="inlineStr">
        <is>
          <t>W</t>
        </is>
      </c>
      <c r="J947" s="10" t="inlineStr">
        <is>
          <t>MIN 4, VGK 2</t>
        </is>
      </c>
      <c r="K947" s="10" t="inlineStr">
        <is>
          <t>DraftKings closing</t>
        </is>
      </c>
    </row>
    <row r="948">
      <c r="A948" s="9" t="n">
        <v>46087</v>
      </c>
      <c r="B948" s="10" t="inlineStr">
        <is>
          <t>STL @ SJS</t>
        </is>
      </c>
      <c r="C948" s="13" t="n">
        <v>71.56</v>
      </c>
      <c r="D948" s="13" t="n">
        <v>70.03</v>
      </c>
      <c r="E948" s="13">
        <f>IF(OR(C948="",D948=""),"",ABS(C948-D948))</f>
        <v/>
      </c>
      <c r="F948" s="11" t="inlineStr">
        <is>
          <t>STL</t>
        </is>
      </c>
      <c r="G948" s="12" t="n">
        <v>124</v>
      </c>
      <c r="H948" s="14">
        <f>IF(OR(F948="",G948="",AND(I948&lt;&gt;"W",I948&lt;&gt;"L")),"",IF(I948="W",IF(G948&gt;0,G948/100,1),IF(G948&lt;0,G948/100,-1)))</f>
        <v/>
      </c>
      <c r="I948" s="11" t="inlineStr">
        <is>
          <t>W</t>
        </is>
      </c>
      <c r="J948" s="10" t="inlineStr">
        <is>
          <t>STL 3, SJS 2</t>
        </is>
      </c>
      <c r="K948" s="10" t="inlineStr">
        <is>
          <t>DraftKings closing</t>
        </is>
      </c>
    </row>
    <row r="949">
      <c r="A949" s="9" t="n">
        <v>46088</v>
      </c>
      <c r="B949" s="10" t="inlineStr">
        <is>
          <t>WSH @ BOS</t>
        </is>
      </c>
      <c r="C949" s="13" t="n">
        <v>56.96</v>
      </c>
      <c r="D949" s="13" t="n">
        <v>65.65000000000001</v>
      </c>
      <c r="E949" s="13">
        <f>IF(OR(C949="",D949=""),"",ABS(C949-D949))</f>
        <v/>
      </c>
      <c r="F949" s="11" t="inlineStr">
        <is>
          <t>BOS</t>
        </is>
      </c>
      <c r="G949" s="12" t="n">
        <v>-130</v>
      </c>
      <c r="H949" s="14">
        <f>IF(OR(F949="",G949="",AND(I949&lt;&gt;"W",I949&lt;&gt;"L")),"",IF(I949="W",IF(G949&gt;0,G949/100,1),IF(G949&lt;0,G949/100,-1)))</f>
        <v/>
      </c>
      <c r="I949" s="11" t="inlineStr">
        <is>
          <t>W</t>
        </is>
      </c>
      <c r="J949" s="10" t="inlineStr">
        <is>
          <t>WSH 1, BOS 3</t>
        </is>
      </c>
      <c r="K949" s="10" t="inlineStr">
        <is>
          <t>DraftKings closing</t>
        </is>
      </c>
    </row>
    <row r="950">
      <c r="A950" s="9" t="n">
        <v>46088</v>
      </c>
      <c r="B950" s="10" t="inlineStr">
        <is>
          <t>NYR @ NJD</t>
        </is>
      </c>
      <c r="C950" s="13" t="n">
        <v>80.66</v>
      </c>
      <c r="D950" s="13" t="n">
        <v>78.95999999999999</v>
      </c>
      <c r="E950" s="13">
        <f>IF(OR(C950="",D950=""),"",ABS(C950-D950))</f>
        <v/>
      </c>
      <c r="F950" s="11" t="inlineStr">
        <is>
          <t>NYR</t>
        </is>
      </c>
      <c r="G950" s="12" t="n">
        <v>150</v>
      </c>
      <c r="H950" s="14">
        <f>IF(OR(F950="",G950="",AND(I950&lt;&gt;"W",I950&lt;&gt;"L")),"",IF(I950="W",IF(G950&gt;0,G950/100,1),IF(G950&lt;0,G950/100,-1)))</f>
        <v/>
      </c>
      <c r="I950" s="11" t="inlineStr">
        <is>
          <t>L</t>
        </is>
      </c>
      <c r="J950" s="10" t="inlineStr">
        <is>
          <t>NYR 3, NJD 6</t>
        </is>
      </c>
      <c r="K950" s="10" t="inlineStr">
        <is>
          <t>DraftKings closing</t>
        </is>
      </c>
    </row>
    <row r="951">
      <c r="A951" s="9" t="n">
        <v>46088</v>
      </c>
      <c r="B951" s="10" t="inlineStr">
        <is>
          <t>NSH @ BUF</t>
        </is>
      </c>
      <c r="C951" s="13" t="n">
        <v>74.34999999999999</v>
      </c>
      <c r="D951" s="13" t="n">
        <v>80.92</v>
      </c>
      <c r="E951" s="13">
        <f>IF(OR(C951="",D951=""),"",ABS(C951-D951))</f>
        <v/>
      </c>
      <c r="F951" s="11" t="inlineStr">
        <is>
          <t>BUF</t>
        </is>
      </c>
      <c r="G951" s="12" t="n">
        <v>-185</v>
      </c>
      <c r="H951" s="14">
        <f>IF(OR(F951="",G951="",AND(I951&lt;&gt;"W",I951&lt;&gt;"L")),"",IF(I951="W",IF(G951&gt;0,G951/100,1),IF(G951&lt;0,G951/100,-1)))</f>
        <v/>
      </c>
      <c r="I951" s="11" t="inlineStr">
        <is>
          <t>W</t>
        </is>
      </c>
      <c r="J951" s="10" t="inlineStr">
        <is>
          <t>NSH 2, BUF 3</t>
        </is>
      </c>
      <c r="K951" s="10" t="inlineStr">
        <is>
          <t>DraftKings closing</t>
        </is>
      </c>
    </row>
    <row r="952">
      <c r="A952" s="9" t="n">
        <v>46088</v>
      </c>
      <c r="B952" s="10" t="inlineStr">
        <is>
          <t>PHI @ PIT</t>
        </is>
      </c>
      <c r="C952" s="13" t="n">
        <v>58.83</v>
      </c>
      <c r="D952" s="13" t="n">
        <v>59.08</v>
      </c>
      <c r="E952" s="13">
        <f>IF(OR(C952="",D952=""),"",ABS(C952-D952))</f>
        <v/>
      </c>
      <c r="F952" s="11" t="inlineStr">
        <is>
          <t>PIT</t>
        </is>
      </c>
      <c r="G952" s="12" t="n">
        <v>-142</v>
      </c>
      <c r="H952" s="14">
        <f>IF(OR(F952="",G952="",AND(I952&lt;&gt;"W",I952&lt;&gt;"L")),"",IF(I952="W",IF(G952&gt;0,G952/100,1),IF(G952&lt;0,G952/100,-1)))</f>
        <v/>
      </c>
      <c r="I952" s="11" t="inlineStr">
        <is>
          <t>L</t>
        </is>
      </c>
      <c r="J952" s="10" t="inlineStr">
        <is>
          <t>PHI 4, PIT 3</t>
        </is>
      </c>
      <c r="K952" s="10" t="inlineStr">
        <is>
          <t>DraftKings closing</t>
        </is>
      </c>
    </row>
    <row r="953">
      <c r="A953" s="9" t="n">
        <v>46088</v>
      </c>
      <c r="B953" s="10" t="inlineStr">
        <is>
          <t>TBL @ TOR</t>
        </is>
      </c>
      <c r="C953" s="13" t="n">
        <v>61.16</v>
      </c>
      <c r="D953" s="13" t="n">
        <v>59.34</v>
      </c>
      <c r="E953" s="13">
        <f>IF(OR(C953="",D953=""),"",ABS(C953-D953))</f>
        <v/>
      </c>
      <c r="F953" s="11" t="inlineStr">
        <is>
          <t>TBL</t>
        </is>
      </c>
      <c r="G953" s="12" t="n">
        <v>-218</v>
      </c>
      <c r="H953" s="14">
        <f>IF(OR(F953="",G953="",AND(I953&lt;&gt;"W",I953&lt;&gt;"L")),"",IF(I953="W",IF(G953&gt;0,G953/100,1),IF(G953&lt;0,G953/100,-1)))</f>
        <v/>
      </c>
      <c r="I953" s="11" t="inlineStr">
        <is>
          <t>W</t>
        </is>
      </c>
      <c r="J953" s="10" t="inlineStr">
        <is>
          <t>TBL 5, TOR 2</t>
        </is>
      </c>
      <c r="K953" s="10" t="inlineStr">
        <is>
          <t>DraftKings closing</t>
        </is>
      </c>
    </row>
    <row r="954">
      <c r="A954" s="9" t="n">
        <v>46088</v>
      </c>
      <c r="B954" s="10" t="inlineStr">
        <is>
          <t>UTA @ CBJ</t>
        </is>
      </c>
      <c r="C954" s="13" t="n">
        <v>81.17</v>
      </c>
      <c r="D954" s="13" t="n">
        <v>66.43000000000001</v>
      </c>
      <c r="E954" s="13">
        <f>IF(OR(C954="",D954=""),"",ABS(C954-D954))</f>
        <v/>
      </c>
      <c r="F954" s="11" t="inlineStr">
        <is>
          <t>UTA</t>
        </is>
      </c>
      <c r="G954" s="12" t="n">
        <v>-122</v>
      </c>
      <c r="H954" s="14">
        <f>IF(OR(F954="",G954="",AND(I954&lt;&gt;"W",I954&lt;&gt;"L")),"",IF(I954="W",IF(G954&gt;0,G954/100,1),IF(G954&lt;0,G954/100,-1)))</f>
        <v/>
      </c>
      <c r="I954" s="11" t="inlineStr">
        <is>
          <t>W</t>
        </is>
      </c>
      <c r="J954" s="10" t="inlineStr">
        <is>
          <t>UTA 5, CBJ 4</t>
        </is>
      </c>
      <c r="K954" s="10" t="inlineStr">
        <is>
          <t>DraftKings closing</t>
        </is>
      </c>
    </row>
    <row r="955">
      <c r="A955" s="9" t="n">
        <v>46088</v>
      </c>
      <c r="B955" s="10" t="inlineStr">
        <is>
          <t>VAN @ WPG</t>
        </is>
      </c>
      <c r="C955" s="13" t="n">
        <v>65.84999999999999</v>
      </c>
      <c r="D955" s="13" t="n">
        <v>78.84</v>
      </c>
      <c r="E955" s="13">
        <f>IF(OR(C955="",D955=""),"",ABS(C955-D955))</f>
        <v/>
      </c>
      <c r="F955" s="11" t="inlineStr">
        <is>
          <t>WPG</t>
        </is>
      </c>
      <c r="G955" s="12" t="n">
        <v>-290</v>
      </c>
      <c r="H955" s="14">
        <f>IF(OR(F955="",G955="",AND(I955&lt;&gt;"W",I955&lt;&gt;"L")),"",IF(I955="W",IF(G955&gt;0,G955/100,1),IF(G955&lt;0,G955/100,-1)))</f>
        <v/>
      </c>
      <c r="I955" s="11" t="inlineStr">
        <is>
          <t>W</t>
        </is>
      </c>
      <c r="J955" s="10" t="inlineStr">
        <is>
          <t>VAN 2, WPG 3</t>
        </is>
      </c>
      <c r="K955" s="10" t="inlineStr">
        <is>
          <t>DraftKings closing</t>
        </is>
      </c>
    </row>
    <row r="956">
      <c r="A956" s="9" t="n">
        <v>46088</v>
      </c>
      <c r="B956" s="10" t="inlineStr">
        <is>
          <t>MTL @ LAK</t>
        </is>
      </c>
      <c r="C956" s="13" t="n">
        <v>70.84</v>
      </c>
      <c r="D956" s="13" t="n">
        <v>75.17</v>
      </c>
      <c r="E956" s="13">
        <f>IF(OR(C956="",D956=""),"",ABS(C956-D956))</f>
        <v/>
      </c>
      <c r="F956" s="11" t="inlineStr">
        <is>
          <t>LAK</t>
        </is>
      </c>
      <c r="G956" s="12" t="n">
        <v>-115</v>
      </c>
      <c r="H956" s="14">
        <f>IF(OR(F956="",G956="",AND(I956&lt;&gt;"W",I956&lt;&gt;"L")),"",IF(I956="W",IF(G956&gt;0,G956/100,1),IF(G956&lt;0,G956/100,-1)))</f>
        <v/>
      </c>
      <c r="I956" s="11" t="inlineStr">
        <is>
          <t>L</t>
        </is>
      </c>
      <c r="J956" s="10" t="inlineStr">
        <is>
          <t>MTL 4, LAK 3</t>
        </is>
      </c>
      <c r="K956" s="10" t="inlineStr">
        <is>
          <t>DraftKings closing</t>
        </is>
      </c>
    </row>
    <row r="957">
      <c r="A957" s="9" t="n">
        <v>46088</v>
      </c>
      <c r="B957" s="10" t="inlineStr">
        <is>
          <t>CAR @ CGY</t>
        </is>
      </c>
      <c r="C957" s="13" t="n">
        <v>84.76000000000001</v>
      </c>
      <c r="D957" s="13" t="n">
        <v>56.29</v>
      </c>
      <c r="E957" s="13">
        <f>IF(OR(C957="",D957=""),"",ABS(C957-D957))</f>
        <v/>
      </c>
      <c r="F957" s="11" t="inlineStr">
        <is>
          <t>CAR</t>
        </is>
      </c>
      <c r="G957" s="12" t="n">
        <v>-218</v>
      </c>
      <c r="H957" s="14">
        <f>IF(OR(F957="",G957="",AND(I957&lt;&gt;"W",I957&lt;&gt;"L")),"",IF(I957="W",IF(G957&gt;0,G957/100,1),IF(G957&lt;0,G957/100,-1)))</f>
        <v/>
      </c>
      <c r="I957" s="11" t="inlineStr">
        <is>
          <t>L</t>
        </is>
      </c>
      <c r="J957" s="10" t="inlineStr">
        <is>
          <t>CAR 4, CGY 5</t>
        </is>
      </c>
      <c r="K957" s="10" t="inlineStr">
        <is>
          <t>DraftKings closing</t>
        </is>
      </c>
    </row>
    <row r="958">
      <c r="A958" s="9" t="n">
        <v>46088</v>
      </c>
      <c r="B958" s="10" t="inlineStr">
        <is>
          <t>NYI @ SJS</t>
        </is>
      </c>
      <c r="C958" s="13" t="n">
        <v>64.83</v>
      </c>
      <c r="D958" s="13" t="n">
        <v>71.23</v>
      </c>
      <c r="E958" s="13">
        <f>IF(OR(C958="",D958=""),"",ABS(C958-D958))</f>
        <v/>
      </c>
      <c r="F958" s="11" t="inlineStr">
        <is>
          <t>SJS</t>
        </is>
      </c>
      <c r="G958" s="12" t="n">
        <v>124</v>
      </c>
      <c r="H958" s="14">
        <f>IF(OR(F958="",G958="",AND(I958&lt;&gt;"W",I958&lt;&gt;"L")),"",IF(I958="W",IF(G958&gt;0,G958/100,1),IF(G958&lt;0,G958/100,-1)))</f>
        <v/>
      </c>
      <c r="I958" s="11" t="inlineStr">
        <is>
          <t>L</t>
        </is>
      </c>
      <c r="J958" s="10" t="inlineStr">
        <is>
          <t>NYI 2, SJS 1</t>
        </is>
      </c>
      <c r="K958" s="10" t="inlineStr">
        <is>
          <t>DraftKings closing</t>
        </is>
      </c>
    </row>
    <row r="959">
      <c r="A959" s="9" t="n">
        <v>46088</v>
      </c>
      <c r="B959" s="10" t="inlineStr">
        <is>
          <t>OTT @ SEA</t>
        </is>
      </c>
      <c r="C959" s="13" t="n">
        <v>83.70999999999999</v>
      </c>
      <c r="D959" s="13" t="n">
        <v>68.44</v>
      </c>
      <c r="E959" s="13">
        <f>IF(OR(C959="",D959=""),"",ABS(C959-D959))</f>
        <v/>
      </c>
      <c r="F959" s="11" t="inlineStr">
        <is>
          <t>OTT</t>
        </is>
      </c>
      <c r="G959" s="12" t="n">
        <v>-162</v>
      </c>
      <c r="H959" s="14">
        <f>IF(OR(F959="",G959="",AND(I959&lt;&gt;"W",I959&lt;&gt;"L")),"",IF(I959="W",IF(G959&gt;0,G959/100,1),IF(G959&lt;0,G959/100,-1)))</f>
        <v/>
      </c>
      <c r="I959" s="11" t="inlineStr">
        <is>
          <t>W</t>
        </is>
      </c>
      <c r="J959" s="10" t="inlineStr">
        <is>
          <t>OTT 7, SEA 4</t>
        </is>
      </c>
      <c r="K959" s="10" t="inlineStr">
        <is>
          <t>DraftKings closing</t>
        </is>
      </c>
    </row>
    <row r="960">
      <c r="A960" s="9" t="n">
        <v>46089</v>
      </c>
      <c r="B960" s="10" t="inlineStr">
        <is>
          <t>MIN @ COL</t>
        </is>
      </c>
      <c r="C960" s="13" t="n">
        <v>74.3</v>
      </c>
      <c r="D960" s="13" t="n">
        <v>69.08</v>
      </c>
      <c r="E960" s="13">
        <f>IF(OR(C960="",D960=""),"",ABS(C960-D960))</f>
        <v/>
      </c>
      <c r="F960" s="11" t="inlineStr">
        <is>
          <t>MIN</t>
        </is>
      </c>
      <c r="G960" s="12" t="n">
        <v>154</v>
      </c>
      <c r="H960" s="14">
        <f>IF(OR(F960="",G960="",AND(I960&lt;&gt;"W",I960&lt;&gt;"L")),"",IF(I960="W",IF(G960&gt;0,G960/100,1),IF(G960&lt;0,G960/100,-1)))</f>
        <v/>
      </c>
      <c r="I960" s="11" t="inlineStr">
        <is>
          <t>L</t>
        </is>
      </c>
      <c r="J960" s="10" t="inlineStr">
        <is>
          <t>MIN 2, COL 3</t>
        </is>
      </c>
      <c r="K960" s="10" t="inlineStr">
        <is>
          <t>DraftKings closing</t>
        </is>
      </c>
    </row>
    <row r="961">
      <c r="A961" s="9" t="n">
        <v>46089</v>
      </c>
      <c r="B961" s="10" t="inlineStr">
        <is>
          <t>BOS @ PIT</t>
        </is>
      </c>
      <c r="C961" s="13" t="n">
        <v>75.70999999999999</v>
      </c>
      <c r="D961" s="13" t="n">
        <v>75.44</v>
      </c>
      <c r="E961" s="13">
        <f>IF(OR(C961="",D961=""),"",ABS(C961-D961))</f>
        <v/>
      </c>
      <c r="F961" s="11" t="inlineStr">
        <is>
          <t>BOS</t>
        </is>
      </c>
      <c r="G961" s="12" t="n">
        <v>105</v>
      </c>
      <c r="H961" s="14">
        <f>IF(OR(F961="",G961="",AND(I961&lt;&gt;"W",I961&lt;&gt;"L")),"",IF(I961="W",IF(G961&gt;0,G961/100,1),IF(G961&lt;0,G961/100,-1)))</f>
        <v/>
      </c>
      <c r="I961" s="11" t="inlineStr">
        <is>
          <t>L</t>
        </is>
      </c>
      <c r="J961" s="10" t="inlineStr">
        <is>
          <t>BOS 4, PIT 5</t>
        </is>
      </c>
      <c r="K961" s="10" t="inlineStr">
        <is>
          <t>DraftKings closing</t>
        </is>
      </c>
    </row>
    <row r="962">
      <c r="A962" s="9" t="n">
        <v>46089</v>
      </c>
      <c r="B962" s="10" t="inlineStr">
        <is>
          <t>TBL @ BUF</t>
        </is>
      </c>
      <c r="C962" s="13" t="n">
        <v>81.34999999999999</v>
      </c>
      <c r="D962" s="13" t="n">
        <v>74.78</v>
      </c>
      <c r="E962" s="13">
        <f>IF(OR(C962="",D962=""),"",ABS(C962-D962))</f>
        <v/>
      </c>
      <c r="F962" s="11" t="inlineStr">
        <is>
          <t>TBL</t>
        </is>
      </c>
      <c r="G962" s="12" t="n">
        <v>-115</v>
      </c>
      <c r="H962" s="14">
        <f>IF(OR(F962="",G962="",AND(I962&lt;&gt;"W",I962&lt;&gt;"L")),"",IF(I962="W",IF(G962&gt;0,G962/100,1),IF(G962&lt;0,G962/100,-1)))</f>
        <v/>
      </c>
      <c r="I962" s="11" t="inlineStr">
        <is>
          <t>L</t>
        </is>
      </c>
      <c r="J962" s="10" t="inlineStr">
        <is>
          <t>TBL 7, BUF 8</t>
        </is>
      </c>
      <c r="K962" s="10" t="inlineStr">
        <is>
          <t>DraftKings closing</t>
        </is>
      </c>
    </row>
    <row r="963">
      <c r="A963" s="9" t="n">
        <v>46089</v>
      </c>
      <c r="B963" s="10" t="inlineStr">
        <is>
          <t>CHI @ DAL</t>
        </is>
      </c>
      <c r="C963" s="13" t="n">
        <v>74.15000000000001</v>
      </c>
      <c r="D963" s="13" t="n">
        <v>70.92</v>
      </c>
      <c r="E963" s="13">
        <f>IF(OR(C963="",D963=""),"",ABS(C963-D963))</f>
        <v/>
      </c>
      <c r="F963" s="11" t="inlineStr">
        <is>
          <t>CHI</t>
        </is>
      </c>
      <c r="G963" s="12" t="n">
        <v>260</v>
      </c>
      <c r="H963" s="14">
        <f>IF(OR(F963="",G963="",AND(I963&lt;&gt;"W",I963&lt;&gt;"L")),"",IF(I963="W",IF(G963&gt;0,G963/100,1),IF(G963&lt;0,G963/100,-1)))</f>
        <v/>
      </c>
      <c r="I963" s="11" t="inlineStr">
        <is>
          <t>L</t>
        </is>
      </c>
      <c r="J963" s="10" t="inlineStr">
        <is>
          <t>CHI 3, DAL 4</t>
        </is>
      </c>
      <c r="K963" s="10" t="inlineStr">
        <is>
          <t>DraftKings closing</t>
        </is>
      </c>
    </row>
    <row r="964">
      <c r="A964" s="9" t="n">
        <v>46089</v>
      </c>
      <c r="B964" s="10" t="inlineStr">
        <is>
          <t>DET @ NJD</t>
        </is>
      </c>
      <c r="C964" s="13" t="n">
        <v>73.66</v>
      </c>
      <c r="D964" s="13" t="n">
        <v>81.98999999999999</v>
      </c>
      <c r="E964" s="13">
        <f>IF(OR(C964="",D964=""),"",ABS(C964-D964))</f>
        <v/>
      </c>
      <c r="F964" s="11" t="inlineStr">
        <is>
          <t>NJD</t>
        </is>
      </c>
      <c r="G964" s="12" t="n">
        <v>-105</v>
      </c>
      <c r="H964" s="14">
        <f>IF(OR(F964="",G964="",AND(I964&lt;&gt;"W",I964&lt;&gt;"L")),"",IF(I964="W",IF(G964&gt;0,G964/100,1),IF(G964&lt;0,G964/100,-1)))</f>
        <v/>
      </c>
      <c r="I964" s="11" t="inlineStr">
        <is>
          <t>L</t>
        </is>
      </c>
      <c r="J964" s="10" t="inlineStr">
        <is>
          <t>DET 3, NJD 0</t>
        </is>
      </c>
      <c r="K964" s="10" t="inlineStr">
        <is>
          <t>DraftKings closing</t>
        </is>
      </c>
    </row>
    <row r="965">
      <c r="A965" s="9" t="n">
        <v>46089</v>
      </c>
      <c r="B965" s="10" t="inlineStr">
        <is>
          <t>STL @ ANA</t>
        </is>
      </c>
      <c r="C965" s="13" t="n">
        <v>68.77</v>
      </c>
      <c r="D965" s="13" t="n">
        <v>69.16</v>
      </c>
      <c r="E965" s="13">
        <f>IF(OR(C965="",D965=""),"",ABS(C965-D965))</f>
        <v/>
      </c>
      <c r="F965" s="11" t="inlineStr">
        <is>
          <t>ANA</t>
        </is>
      </c>
      <c r="G965" s="12" t="n">
        <v>-175</v>
      </c>
      <c r="H965" s="14">
        <f>IF(OR(F965="",G965="",AND(I965&lt;&gt;"W",I965&lt;&gt;"L")),"",IF(I965="W",IF(G965&gt;0,G965/100,1),IF(G965&lt;0,G965/100,-1)))</f>
        <v/>
      </c>
      <c r="I965" s="11" t="inlineStr">
        <is>
          <t>L</t>
        </is>
      </c>
      <c r="J965" s="10" t="inlineStr">
        <is>
          <t>STL 4, ANA 0</t>
        </is>
      </c>
      <c r="K965" s="10" t="inlineStr">
        <is>
          <t>DraftKings closing</t>
        </is>
      </c>
    </row>
    <row r="966">
      <c r="A966" s="9" t="n">
        <v>46089</v>
      </c>
      <c r="B966" s="10" t="inlineStr">
        <is>
          <t>EDM @ VGK</t>
        </is>
      </c>
      <c r="C966" s="13" t="n">
        <v>55.24</v>
      </c>
      <c r="D966" s="13" t="n">
        <v>65.7</v>
      </c>
      <c r="E966" s="13">
        <f>IF(OR(C966="",D966=""),"",ABS(C966-D966))</f>
        <v/>
      </c>
      <c r="F966" s="11" t="inlineStr">
        <is>
          <t>VGK</t>
        </is>
      </c>
      <c r="G966" s="12" t="n">
        <v>-110</v>
      </c>
      <c r="H966" s="14">
        <f>IF(OR(F966="",G966="",AND(I966&lt;&gt;"W",I966&lt;&gt;"L")),"",IF(I966="W",IF(G966&gt;0,G966/100,1),IF(G966&lt;0,G966/100,-1)))</f>
        <v/>
      </c>
      <c r="I966" s="11" t="inlineStr">
        <is>
          <t>L</t>
        </is>
      </c>
      <c r="J966" s="10" t="inlineStr">
        <is>
          <t>EDM 4, VGK 2</t>
        </is>
      </c>
      <c r="K966" s="10" t="inlineStr">
        <is>
          <t>DraftKings closing</t>
        </is>
      </c>
    </row>
    <row r="967">
      <c r="A967" s="9" t="n">
        <v>46090</v>
      </c>
      <c r="B967" s="10" t="inlineStr">
        <is>
          <t>LAK @ CBJ</t>
        </is>
      </c>
      <c r="C967" s="13" t="n">
        <v>78.66</v>
      </c>
      <c r="D967" s="13" t="n">
        <v>73.15000000000001</v>
      </c>
      <c r="E967" s="13">
        <f>IF(OR(C967="",D967=""),"",ABS(C967-D967))</f>
        <v/>
      </c>
      <c r="F967" s="11" t="inlineStr">
        <is>
          <t>LAK</t>
        </is>
      </c>
      <c r="G967" s="12" t="n">
        <v>130</v>
      </c>
      <c r="H967" s="14">
        <f>IF(OR(F967="",G967="",AND(I967&lt;&gt;"W",I967&lt;&gt;"L")),"",IF(I967="W",IF(G967&gt;0,G967/100,1),IF(G967&lt;0,G967/100,-1)))</f>
        <v/>
      </c>
      <c r="I967" s="11" t="inlineStr">
        <is>
          <t>W</t>
        </is>
      </c>
      <c r="J967" s="10" t="inlineStr">
        <is>
          <t>LAK 5, CBJ 4</t>
        </is>
      </c>
      <c r="K967" s="10" t="inlineStr">
        <is>
          <t>DraftKings closing</t>
        </is>
      </c>
    </row>
    <row r="968">
      <c r="A968" s="9" t="n">
        <v>46090</v>
      </c>
      <c r="B968" s="10" t="inlineStr">
        <is>
          <t>NYR @ PHI</t>
        </is>
      </c>
      <c r="C968" s="13" t="n">
        <v>58.01</v>
      </c>
      <c r="D968" s="13" t="n">
        <v>64.56</v>
      </c>
      <c r="E968" s="13">
        <f>IF(OR(C968="",D968=""),"",ABS(C968-D968))</f>
        <v/>
      </c>
      <c r="F968" s="11" t="inlineStr">
        <is>
          <t>PHI</t>
        </is>
      </c>
      <c r="G968" s="12" t="n">
        <v>-142</v>
      </c>
      <c r="H968" s="14">
        <f>IF(OR(F968="",G968="",AND(I968&lt;&gt;"W",I968&lt;&gt;"L")),"",IF(I968="W",IF(G968&gt;0,G968/100,1),IF(G968&lt;0,G968/100,-1)))</f>
        <v/>
      </c>
      <c r="I968" s="11" t="inlineStr">
        <is>
          <t>L</t>
        </is>
      </c>
      <c r="J968" s="10" t="inlineStr">
        <is>
          <t>NYR 6, PHI 2</t>
        </is>
      </c>
      <c r="K968" s="10" t="inlineStr">
        <is>
          <t>DraftKings closing</t>
        </is>
      </c>
    </row>
    <row r="969">
      <c r="A969" s="9" t="n">
        <v>46090</v>
      </c>
      <c r="B969" s="10" t="inlineStr">
        <is>
          <t>CGY @ WSH</t>
        </is>
      </c>
      <c r="C969" s="13" t="n">
        <v>69.84</v>
      </c>
      <c r="D969" s="13" t="n">
        <v>64.29000000000001</v>
      </c>
      <c r="E969" s="13">
        <f>IF(OR(C969="",D969=""),"",ABS(C969-D969))</f>
        <v/>
      </c>
      <c r="F969" s="11" t="inlineStr">
        <is>
          <t>CGY</t>
        </is>
      </c>
      <c r="G969" s="12" t="n">
        <v>160</v>
      </c>
      <c r="H969" s="14">
        <f>IF(OR(F969="",G969="",AND(I969&lt;&gt;"W",I969&lt;&gt;"L")),"",IF(I969="W",IF(G969&gt;0,G969/100,1),IF(G969&lt;0,G969/100,-1)))</f>
        <v/>
      </c>
      <c r="I969" s="11" t="inlineStr">
        <is>
          <t>L</t>
        </is>
      </c>
      <c r="J969" s="10" t="inlineStr">
        <is>
          <t>CGY 3, WSH 7</t>
        </is>
      </c>
      <c r="K969" s="10" t="inlineStr">
        <is>
          <t>DraftKings closing</t>
        </is>
      </c>
    </row>
    <row r="970">
      <c r="A970" s="9" t="n">
        <v>46090</v>
      </c>
      <c r="B970" s="10" t="inlineStr">
        <is>
          <t>UTA @ CHI</t>
        </is>
      </c>
      <c r="C970" s="13" t="n">
        <v>66.84999999999999</v>
      </c>
      <c r="D970" s="13" t="n">
        <v>59.86</v>
      </c>
      <c r="E970" s="13">
        <f>IF(OR(C970="",D970=""),"",ABS(C970-D970))</f>
        <v/>
      </c>
      <c r="F970" s="11" t="inlineStr">
        <is>
          <t>UTA</t>
        </is>
      </c>
      <c r="G970" s="12" t="n">
        <v>-238</v>
      </c>
      <c r="H970" s="14">
        <f>IF(OR(F970="",G970="",AND(I970&lt;&gt;"W",I970&lt;&gt;"L")),"",IF(I970="W",IF(G970&gt;0,G970/100,1),IF(G970&lt;0,G970/100,-1)))</f>
        <v/>
      </c>
      <c r="I970" s="11" t="inlineStr">
        <is>
          <t>L</t>
        </is>
      </c>
      <c r="J970" s="10" t="inlineStr">
        <is>
          <t>UTA 2, CHI 3</t>
        </is>
      </c>
      <c r="K970" s="10" t="inlineStr">
        <is>
          <t>DraftKings closing</t>
        </is>
      </c>
    </row>
    <row r="971">
      <c r="A971" s="9" t="n">
        <v>46090</v>
      </c>
      <c r="B971" s="10" t="inlineStr">
        <is>
          <t>OTT @ VAN</t>
        </is>
      </c>
      <c r="C971" s="13" t="n">
        <v>91.61</v>
      </c>
      <c r="D971" s="13" t="n">
        <v>59.39</v>
      </c>
      <c r="E971" s="13">
        <f>IF(OR(C971="",D971=""),"",ABS(C971-D971))</f>
        <v/>
      </c>
      <c r="F971" s="11" t="inlineStr">
        <is>
          <t>OTT</t>
        </is>
      </c>
      <c r="G971" s="12" t="n">
        <v>-230</v>
      </c>
      <c r="H971" s="14">
        <f>IF(OR(F971="",G971="",AND(I971&lt;&gt;"W",I971&lt;&gt;"L")),"",IF(I971="W",IF(G971&gt;0,G971/100,1),IF(G971&lt;0,G971/100,-1)))</f>
        <v/>
      </c>
      <c r="I971" s="11" t="inlineStr">
        <is>
          <t>W</t>
        </is>
      </c>
      <c r="J971" s="10" t="inlineStr">
        <is>
          <t>OTT 2, VAN 0</t>
        </is>
      </c>
      <c r="K971" s="10" t="inlineStr">
        <is>
          <t>DraftKings closing</t>
        </is>
      </c>
    </row>
    <row r="972">
      <c r="A972" s="9" t="n">
        <v>46091</v>
      </c>
      <c r="B972" s="10" t="inlineStr">
        <is>
          <t>LAK @ BOS</t>
        </is>
      </c>
      <c r="C972" s="13" t="n">
        <v>79.11</v>
      </c>
      <c r="D972" s="13" t="n">
        <v>59.67</v>
      </c>
      <c r="E972" s="13">
        <f>IF(OR(C972="",D972=""),"",ABS(C972-D972))</f>
        <v/>
      </c>
      <c r="F972" s="11" t="inlineStr">
        <is>
          <t>LAK</t>
        </is>
      </c>
      <c r="G972" s="12" t="n">
        <v>136</v>
      </c>
      <c r="H972" s="14">
        <f>IF(OR(F972="",G972="",AND(I972&lt;&gt;"W",I972&lt;&gt;"L")),"",IF(I972="W",IF(G972&gt;0,G972/100,1),IF(G972&lt;0,G972/100,-1)))</f>
        <v/>
      </c>
      <c r="I972" s="11" t="inlineStr">
        <is>
          <t>L</t>
        </is>
      </c>
      <c r="J972" s="10" t="inlineStr">
        <is>
          <t>LAK 1, BOS 2</t>
        </is>
      </c>
      <c r="K972" s="10" t="inlineStr">
        <is>
          <t>DraftKings closing</t>
        </is>
      </c>
    </row>
    <row r="973">
      <c r="A973" s="9" t="n">
        <v>46091</v>
      </c>
      <c r="B973" s="10" t="inlineStr">
        <is>
          <t>SJS @ BUF</t>
        </is>
      </c>
      <c r="C973" s="13" t="n">
        <v>62.11</v>
      </c>
      <c r="D973" s="13" t="n">
        <v>71.65000000000001</v>
      </c>
      <c r="E973" s="13">
        <f>IF(OR(C973="",D973=""),"",ABS(C973-D973))</f>
        <v/>
      </c>
      <c r="F973" s="11" t="inlineStr">
        <is>
          <t>BUF</t>
        </is>
      </c>
      <c r="G973" s="12" t="n">
        <v>-205</v>
      </c>
      <c r="H973" s="14">
        <f>IF(OR(F973="",G973="",AND(I973&lt;&gt;"W",I973&lt;&gt;"L")),"",IF(I973="W",IF(G973&gt;0,G973/100,1),IF(G973&lt;0,G973/100,-1)))</f>
        <v/>
      </c>
      <c r="I973" s="11" t="inlineStr">
        <is>
          <t>W</t>
        </is>
      </c>
      <c r="J973" s="10" t="inlineStr">
        <is>
          <t>SJS 3, BUF 6</t>
        </is>
      </c>
      <c r="K973" s="10" t="inlineStr">
        <is>
          <t>DraftKings closing</t>
        </is>
      </c>
    </row>
    <row r="974">
      <c r="A974" s="9" t="n">
        <v>46091</v>
      </c>
      <c r="B974" s="10" t="inlineStr">
        <is>
          <t>TOR @ MTL</t>
        </is>
      </c>
      <c r="C974" s="13" t="n">
        <v>58.65</v>
      </c>
      <c r="D974" s="13" t="n">
        <v>61.34</v>
      </c>
      <c r="E974" s="13">
        <f>IF(OR(C974="",D974=""),"",ABS(C974-D974))</f>
        <v/>
      </c>
      <c r="F974" s="11" t="inlineStr">
        <is>
          <t>MTL</t>
        </is>
      </c>
      <c r="G974" s="12" t="n">
        <v>-170</v>
      </c>
      <c r="H974" s="14">
        <f>IF(OR(F974="",G974="",AND(I974&lt;&gt;"W",I974&lt;&gt;"L")),"",IF(I974="W",IF(G974&gt;0,G974/100,1),IF(G974&lt;0,G974/100,-1)))</f>
        <v/>
      </c>
      <c r="I974" s="11" t="inlineStr">
        <is>
          <t>W</t>
        </is>
      </c>
      <c r="J974" s="10" t="inlineStr">
        <is>
          <t>TOR 1, MTL 3</t>
        </is>
      </c>
      <c r="K974" s="10" t="inlineStr">
        <is>
          <t>DraftKings closing</t>
        </is>
      </c>
    </row>
    <row r="975">
      <c r="A975" s="9" t="n">
        <v>46091</v>
      </c>
      <c r="B975" s="10" t="inlineStr">
        <is>
          <t>CBJ @ TBL</t>
        </is>
      </c>
      <c r="C975" s="13" t="n">
        <v>60.89</v>
      </c>
      <c r="D975" s="13" t="n">
        <v>68.34999999999999</v>
      </c>
      <c r="E975" s="13">
        <f>IF(OR(C975="",D975=""),"",ABS(C975-D975))</f>
        <v/>
      </c>
      <c r="F975" s="11" t="inlineStr">
        <is>
          <t>TBL</t>
        </is>
      </c>
      <c r="G975" s="12" t="n">
        <v>-238</v>
      </c>
      <c r="H975" s="14">
        <f>IF(OR(F975="",G975="",AND(I975&lt;&gt;"W",I975&lt;&gt;"L")),"",IF(I975="W",IF(G975&gt;0,G975/100,1),IF(G975&lt;0,G975/100,-1)))</f>
        <v/>
      </c>
      <c r="I975" s="11" t="inlineStr">
        <is>
          <t>L</t>
        </is>
      </c>
      <c r="J975" s="10" t="inlineStr">
        <is>
          <t>CBJ 5, TBL 2</t>
        </is>
      </c>
      <c r="K975" s="10" t="inlineStr">
        <is>
          <t>DraftKings closing</t>
        </is>
      </c>
    </row>
    <row r="976">
      <c r="A976" s="9" t="n">
        <v>46091</v>
      </c>
      <c r="B976" s="10" t="inlineStr">
        <is>
          <t>DET @ FLA</t>
        </is>
      </c>
      <c r="C976" s="13" t="n">
        <v>78.04000000000001</v>
      </c>
      <c r="D976" s="13" t="n">
        <v>66.34</v>
      </c>
      <c r="E976" s="13">
        <f>IF(OR(C976="",D976=""),"",ABS(C976-D976))</f>
        <v/>
      </c>
      <c r="F976" s="11" t="inlineStr">
        <is>
          <t>DET</t>
        </is>
      </c>
      <c r="G976" s="12" t="n">
        <v>-105</v>
      </c>
      <c r="H976" s="14">
        <f>IF(OR(F976="",G976="",AND(I976&lt;&gt;"W",I976&lt;&gt;"L")),"",IF(I976="W",IF(G976&gt;0,G976/100,1),IF(G976&lt;0,G976/100,-1)))</f>
        <v/>
      </c>
      <c r="I976" s="11" t="inlineStr">
        <is>
          <t>L</t>
        </is>
      </c>
      <c r="J976" s="10" t="inlineStr">
        <is>
          <t>DET 3, FLA 4</t>
        </is>
      </c>
      <c r="K976" s="10" t="inlineStr">
        <is>
          <t>DraftKings closing</t>
        </is>
      </c>
    </row>
    <row r="977">
      <c r="A977" s="9" t="n">
        <v>46091</v>
      </c>
      <c r="B977" s="10" t="inlineStr">
        <is>
          <t>CGY @ NYR</t>
        </is>
      </c>
      <c r="C977" s="13" t="n">
        <v>61.97</v>
      </c>
      <c r="D977" s="13" t="n">
        <v>80.03</v>
      </c>
      <c r="E977" s="13">
        <f>IF(OR(C977="",D977=""),"",ABS(C977-D977))</f>
        <v/>
      </c>
      <c r="F977" s="11" t="inlineStr">
        <is>
          <t>NYR</t>
        </is>
      </c>
      <c r="G977" s="12" t="n">
        <v>-125</v>
      </c>
      <c r="H977" s="14">
        <f>IF(OR(F977="",G977="",AND(I977&lt;&gt;"W",I977&lt;&gt;"L")),"",IF(I977="W",IF(G977&gt;0,G977/100,1),IF(G977&lt;0,G977/100,-1)))</f>
        <v/>
      </c>
      <c r="I977" s="11" t="inlineStr">
        <is>
          <t>W</t>
        </is>
      </c>
      <c r="J977" s="10" t="inlineStr">
        <is>
          <t>CGY 0, NYR 4</t>
        </is>
      </c>
      <c r="K977" s="10" t="inlineStr">
        <is>
          <t>DraftKings closing</t>
        </is>
      </c>
    </row>
    <row r="978">
      <c r="A978" s="9" t="n">
        <v>46091</v>
      </c>
      <c r="B978" s="10" t="inlineStr">
        <is>
          <t>PIT @ CAR</t>
        </is>
      </c>
      <c r="C978" s="13" t="n">
        <v>80.33</v>
      </c>
      <c r="D978" s="13" t="n">
        <v>70.16</v>
      </c>
      <c r="E978" s="13">
        <f>IF(OR(C978="",D978=""),"",ABS(C978-D978))</f>
        <v/>
      </c>
      <c r="F978" s="11" t="inlineStr">
        <is>
          <t>PIT</t>
        </is>
      </c>
      <c r="G978" s="12" t="n">
        <v>170</v>
      </c>
      <c r="H978" s="14">
        <f>IF(OR(F978="",G978="",AND(I978&lt;&gt;"W",I978&lt;&gt;"L")),"",IF(I978="W",IF(G978&gt;0,G978/100,1),IF(G978&lt;0,G978/100,-1)))</f>
        <v/>
      </c>
      <c r="I978" s="11" t="inlineStr">
        <is>
          <t>L</t>
        </is>
      </c>
      <c r="J978" s="10" t="inlineStr">
        <is>
          <t>PIT 4, CAR 5</t>
        </is>
      </c>
      <c r="K978" s="10" t="inlineStr">
        <is>
          <t>DraftKings closing</t>
        </is>
      </c>
    </row>
    <row r="979">
      <c r="A979" s="9" t="n">
        <v>46091</v>
      </c>
      <c r="B979" s="10" t="inlineStr">
        <is>
          <t>NYI @ STL</t>
        </is>
      </c>
      <c r="C979" s="13" t="n">
        <v>77.89</v>
      </c>
      <c r="D979" s="13" t="n">
        <v>88.52</v>
      </c>
      <c r="E979" s="13">
        <f>IF(OR(C979="",D979=""),"",ABS(C979-D979))</f>
        <v/>
      </c>
      <c r="F979" s="11" t="inlineStr">
        <is>
          <t>STL</t>
        </is>
      </c>
      <c r="G979" s="12" t="n">
        <v>105</v>
      </c>
      <c r="H979" s="14">
        <f>IF(OR(F979="",G979="",AND(I979&lt;&gt;"W",I979&lt;&gt;"L")),"",IF(I979="W",IF(G979&gt;0,G979/100,1),IF(G979&lt;0,G979/100,-1)))</f>
        <v/>
      </c>
      <c r="I979" s="11" t="inlineStr">
        <is>
          <t>L</t>
        </is>
      </c>
      <c r="J979" s="10" t="inlineStr">
        <is>
          <t>NYI 4, STL 3</t>
        </is>
      </c>
      <c r="K979" s="10" t="inlineStr">
        <is>
          <t>DraftKings closing</t>
        </is>
      </c>
    </row>
    <row r="980">
      <c r="A980" s="9" t="n">
        <v>46091</v>
      </c>
      <c r="B980" s="10" t="inlineStr">
        <is>
          <t>VGK @ DAL</t>
        </is>
      </c>
      <c r="C980" s="13" t="n">
        <v>71.52</v>
      </c>
      <c r="D980" s="13" t="n">
        <v>80.14</v>
      </c>
      <c r="E980" s="13">
        <f>IF(OR(C980="",D980=""),"",ABS(C980-D980))</f>
        <v/>
      </c>
      <c r="F980" s="11" t="inlineStr">
        <is>
          <t>DAL</t>
        </is>
      </c>
      <c r="G980" s="12" t="n">
        <v>-148</v>
      </c>
      <c r="H980" s="14">
        <f>IF(OR(F980="",G980="",AND(I980&lt;&gt;"W",I980&lt;&gt;"L")),"",IF(I980="W",IF(G980&gt;0,G980/100,1),IF(G980&lt;0,G980/100,-1)))</f>
        <v/>
      </c>
      <c r="I980" s="11" t="inlineStr">
        <is>
          <t>W</t>
        </is>
      </c>
      <c r="J980" s="10" t="inlineStr">
        <is>
          <t>VGK 1, DAL 2</t>
        </is>
      </c>
      <c r="K980" s="10" t="inlineStr">
        <is>
          <t>DraftKings closing</t>
        </is>
      </c>
    </row>
    <row r="981">
      <c r="A981" s="9" t="n">
        <v>46091</v>
      </c>
      <c r="B981" s="10" t="inlineStr">
        <is>
          <t>UTA @ MIN</t>
        </is>
      </c>
      <c r="C981" s="13" t="n">
        <v>66.88</v>
      </c>
      <c r="D981" s="13" t="n">
        <v>66.84</v>
      </c>
      <c r="E981" s="13">
        <f>IF(OR(C981="",D981=""),"",ABS(C981-D981))</f>
        <v/>
      </c>
      <c r="F981" s="11" t="inlineStr">
        <is>
          <t>UTA</t>
        </is>
      </c>
      <c r="G981" s="12" t="n">
        <v>136</v>
      </c>
      <c r="H981" s="14">
        <f>IF(OR(F981="",G981="",AND(I981&lt;&gt;"W",I981&lt;&gt;"L")),"",IF(I981="W",IF(G981&gt;0,G981/100,1),IF(G981&lt;0,G981/100,-1)))</f>
        <v/>
      </c>
      <c r="I981" s="11" t="inlineStr">
        <is>
          <t>L</t>
        </is>
      </c>
      <c r="J981" s="10" t="inlineStr">
        <is>
          <t>UTA 0, MIN 5</t>
        </is>
      </c>
      <c r="K981" s="10" t="inlineStr">
        <is>
          <t>DraftKings closing</t>
        </is>
      </c>
    </row>
    <row r="982">
      <c r="A982" s="9" t="n">
        <v>46091</v>
      </c>
      <c r="B982" s="10" t="inlineStr">
        <is>
          <t>ANA @ WPG</t>
        </is>
      </c>
      <c r="C982" s="13" t="n">
        <v>51.48</v>
      </c>
      <c r="D982" s="13" t="n">
        <v>80.61</v>
      </c>
      <c r="E982" s="13">
        <f>IF(OR(C982="",D982=""),"",ABS(C982-D982))</f>
        <v/>
      </c>
      <c r="F982" s="11" t="inlineStr">
        <is>
          <t>WPG</t>
        </is>
      </c>
      <c r="G982" s="12" t="n">
        <v>-130</v>
      </c>
      <c r="H982" s="14">
        <f>IF(OR(F982="",G982="",AND(I982&lt;&gt;"W",I982&lt;&gt;"L")),"",IF(I982="W",IF(G982&gt;0,G982/100,1),IF(G982&lt;0,G982/100,-1)))</f>
        <v/>
      </c>
      <c r="I982" s="11" t="inlineStr">
        <is>
          <t>L</t>
        </is>
      </c>
      <c r="J982" s="10" t="inlineStr">
        <is>
          <t>ANA 4, WPG 1</t>
        </is>
      </c>
      <c r="K982" s="10" t="inlineStr">
        <is>
          <t>DraftKings closing</t>
        </is>
      </c>
    </row>
    <row r="983">
      <c r="A983" s="9" t="n">
        <v>46091</v>
      </c>
      <c r="B983" s="10" t="inlineStr">
        <is>
          <t>EDM @ COL</t>
        </is>
      </c>
      <c r="C983" s="13" t="n">
        <v>68.48</v>
      </c>
      <c r="D983" s="13" t="n">
        <v>73.16</v>
      </c>
      <c r="E983" s="13">
        <f>IF(OR(C983="",D983=""),"",ABS(C983-D983))</f>
        <v/>
      </c>
      <c r="F983" s="11" t="inlineStr">
        <is>
          <t>COL</t>
        </is>
      </c>
      <c r="G983" s="12" t="n">
        <v>-175</v>
      </c>
      <c r="H983" s="14">
        <f>IF(OR(F983="",G983="",AND(I983&lt;&gt;"W",I983&lt;&gt;"L")),"",IF(I983="W",IF(G983&gt;0,G983/100,1),IF(G983&lt;0,G983/100,-1)))</f>
        <v/>
      </c>
      <c r="I983" s="11" t="inlineStr">
        <is>
          <t>L</t>
        </is>
      </c>
      <c r="J983" s="10" t="inlineStr">
        <is>
          <t>EDM 4, COL 3</t>
        </is>
      </c>
      <c r="K983" s="10" t="inlineStr">
        <is>
          <t>DraftKings closing</t>
        </is>
      </c>
    </row>
    <row r="984">
      <c r="A984" s="9" t="n">
        <v>46091</v>
      </c>
      <c r="B984" s="10" t="inlineStr">
        <is>
          <t>NSH @ SEA</t>
        </is>
      </c>
      <c r="C984" s="13" t="n">
        <v>65.22</v>
      </c>
      <c r="D984" s="13" t="n">
        <v>48.39</v>
      </c>
      <c r="E984" s="13">
        <f>IF(OR(C984="",D984=""),"",ABS(C984-D984))</f>
        <v/>
      </c>
      <c r="F984" s="11" t="inlineStr">
        <is>
          <t>NSH</t>
        </is>
      </c>
      <c r="G984" s="12" t="n">
        <v>-110</v>
      </c>
      <c r="H984" s="14">
        <f>IF(OR(F984="",G984="",AND(I984&lt;&gt;"W",I984&lt;&gt;"L")),"",IF(I984="W",IF(G984&gt;0,G984/100,1),IF(G984&lt;0,G984/100,-1)))</f>
        <v/>
      </c>
      <c r="I984" s="11" t="inlineStr">
        <is>
          <t>W</t>
        </is>
      </c>
      <c r="J984" s="10" t="inlineStr">
        <is>
          <t>NSH 4, SEA 2</t>
        </is>
      </c>
      <c r="K984" s="10" t="inlineStr">
        <is>
          <t>DraftKings closing</t>
        </is>
      </c>
    </row>
    <row r="985">
      <c r="A985" s="9" t="n">
        <v>46092</v>
      </c>
      <c r="B985" s="10" t="inlineStr">
        <is>
          <t>MTL @ OTT</t>
        </is>
      </c>
      <c r="C985" s="13" t="n">
        <v>85.31999999999999</v>
      </c>
      <c r="D985" s="13" t="n">
        <v>79.48</v>
      </c>
      <c r="E985" s="13">
        <f>IF(OR(C985="",D985=""),"",ABS(C985-D985))</f>
        <v/>
      </c>
      <c r="F985" s="11" t="inlineStr">
        <is>
          <t>MTL</t>
        </is>
      </c>
      <c r="G985" s="12" t="n">
        <v>160</v>
      </c>
      <c r="H985" s="14">
        <f>IF(OR(F985="",G985="",AND(I985&lt;&gt;"W",I985&lt;&gt;"L")),"",IF(I985="W",IF(G985&gt;0,G985/100,1),IF(G985&lt;0,G985/100,-1)))</f>
        <v/>
      </c>
      <c r="I985" s="11" t="inlineStr">
        <is>
          <t>W</t>
        </is>
      </c>
      <c r="J985" s="10" t="inlineStr">
        <is>
          <t>MTL 3, OTT 2</t>
        </is>
      </c>
      <c r="K985" s="10" t="inlineStr">
        <is>
          <t>DraftKings closing</t>
        </is>
      </c>
    </row>
    <row r="986">
      <c r="A986" s="9" t="n">
        <v>46092</v>
      </c>
      <c r="B986" s="10" t="inlineStr">
        <is>
          <t>WSH @ PHI</t>
        </is>
      </c>
      <c r="C986" s="13" t="n">
        <v>78.03</v>
      </c>
      <c r="D986" s="13" t="n">
        <v>59.97</v>
      </c>
      <c r="E986" s="13">
        <f>IF(OR(C986="",D986=""),"",ABS(C986-D986))</f>
        <v/>
      </c>
      <c r="F986" s="11" t="inlineStr">
        <is>
          <t>WSH</t>
        </is>
      </c>
      <c r="G986" s="12" t="n">
        <v>-142</v>
      </c>
      <c r="H986" s="14">
        <f>IF(OR(F986="",G986="",AND(I986&lt;&gt;"W",I986&lt;&gt;"L")),"",IF(I986="W",IF(G986&gt;0,G986/100,1),IF(G986&lt;0,G986/100,-1)))</f>
        <v/>
      </c>
      <c r="I986" s="11" t="inlineStr">
        <is>
          <t>L</t>
        </is>
      </c>
      <c r="J986" s="10" t="inlineStr">
        <is>
          <t>WSH 1, PHI 4</t>
        </is>
      </c>
      <c r="K986" s="10" t="inlineStr">
        <is>
          <t>DraftKings closing</t>
        </is>
      </c>
    </row>
    <row r="987">
      <c r="A987" s="9" t="n">
        <v>46093</v>
      </c>
      <c r="B987" s="10" t="inlineStr">
        <is>
          <t>SJS @ BOS</t>
        </is>
      </c>
      <c r="C987" s="13" t="n">
        <v>58.67</v>
      </c>
      <c r="D987" s="13" t="n">
        <v>73.27</v>
      </c>
      <c r="E987" s="13">
        <f>IF(OR(C987="",D987=""),"",ABS(C987-D987))</f>
        <v/>
      </c>
      <c r="F987" s="11" t="inlineStr">
        <is>
          <t>BOS</t>
        </is>
      </c>
      <c r="G987" s="12" t="n">
        <v>-162</v>
      </c>
      <c r="H987" s="14">
        <f>IF(OR(F987="",G987="",AND(I987&lt;&gt;"W",I987&lt;&gt;"L")),"",IF(I987="W",IF(G987&gt;0,G987/100,1),IF(G987&lt;0,G987/100,-1)))</f>
        <v/>
      </c>
      <c r="I987" s="11" t="inlineStr">
        <is>
          <t>L</t>
        </is>
      </c>
      <c r="J987" s="10" t="inlineStr">
        <is>
          <t>SJS 4, BOS 2</t>
        </is>
      </c>
      <c r="K987" s="10" t="inlineStr">
        <is>
          <t>DraftKings closing</t>
        </is>
      </c>
    </row>
    <row r="988">
      <c r="A988" s="9" t="n">
        <v>46093</v>
      </c>
      <c r="B988" s="10" t="inlineStr">
        <is>
          <t>WSH @ BUF</t>
        </is>
      </c>
      <c r="C988" s="13" t="n">
        <v>71.95</v>
      </c>
      <c r="D988" s="13" t="n">
        <v>81.33</v>
      </c>
      <c r="E988" s="13">
        <f>IF(OR(C988="",D988=""),"",ABS(C988-D988))</f>
        <v/>
      </c>
      <c r="F988" s="11" t="inlineStr">
        <is>
          <t>BUF</t>
        </is>
      </c>
      <c r="G988" s="12" t="n">
        <v>-218</v>
      </c>
      <c r="H988" s="14">
        <f>IF(OR(F988="",G988="",AND(I988&lt;&gt;"W",I988&lt;&gt;"L")),"",IF(I988="W",IF(G988&gt;0,G988/100,1),IF(G988&lt;0,G988/100,-1)))</f>
        <v/>
      </c>
      <c r="I988" s="11" t="inlineStr">
        <is>
          <t>L</t>
        </is>
      </c>
      <c r="J988" s="10" t="inlineStr">
        <is>
          <t>WSH 2, BUF 1</t>
        </is>
      </c>
      <c r="K988" s="10" t="inlineStr">
        <is>
          <t>DraftKings closing</t>
        </is>
      </c>
    </row>
    <row r="989">
      <c r="A989" s="9" t="n">
        <v>46093</v>
      </c>
      <c r="B989" s="10" t="inlineStr">
        <is>
          <t>ANA @ TOR</t>
        </is>
      </c>
      <c r="C989" s="13" t="n">
        <v>86.64</v>
      </c>
      <c r="D989" s="13" t="n">
        <v>54.68</v>
      </c>
      <c r="E989" s="13">
        <f>IF(OR(C989="",D989=""),"",ABS(C989-D989))</f>
        <v/>
      </c>
      <c r="F989" s="11" t="inlineStr">
        <is>
          <t>ANA</t>
        </is>
      </c>
      <c r="G989" s="12" t="n">
        <v>-110</v>
      </c>
      <c r="H989" s="14">
        <f>IF(OR(F989="",G989="",AND(I989&lt;&gt;"W",I989&lt;&gt;"L")),"",IF(I989="W",IF(G989&gt;0,G989/100,1),IF(G989&lt;0,G989/100,-1)))</f>
        <v/>
      </c>
      <c r="I989" s="11" t="inlineStr">
        <is>
          <t>L</t>
        </is>
      </c>
      <c r="J989" s="10" t="inlineStr">
        <is>
          <t>ANA 4, TOR 6</t>
        </is>
      </c>
      <c r="K989" s="10" t="inlineStr">
        <is>
          <t>DraftKings closing</t>
        </is>
      </c>
    </row>
    <row r="990">
      <c r="A990" s="9" t="n">
        <v>46093</v>
      </c>
      <c r="B990" s="10" t="inlineStr">
        <is>
          <t>DET @ TBL</t>
        </is>
      </c>
      <c r="C990" s="13" t="n">
        <v>68.17</v>
      </c>
      <c r="D990" s="13" t="n">
        <v>57.19</v>
      </c>
      <c r="E990" s="13">
        <f>IF(OR(C990="",D990=""),"",ABS(C990-D990))</f>
        <v/>
      </c>
      <c r="F990" s="11" t="inlineStr">
        <is>
          <t>DET</t>
        </is>
      </c>
      <c r="G990" s="12" t="n">
        <v>180</v>
      </c>
      <c r="H990" s="14">
        <f>IF(OR(F990="",G990="",AND(I990&lt;&gt;"W",I990&lt;&gt;"L")),"",IF(I990="W",IF(G990&gt;0,G990/100,1),IF(G990&lt;0,G990/100,-1)))</f>
        <v/>
      </c>
      <c r="I990" s="11" t="inlineStr">
        <is>
          <t>L</t>
        </is>
      </c>
      <c r="J990" s="10" t="inlineStr">
        <is>
          <t>DET 1, TBL 4</t>
        </is>
      </c>
      <c r="K990" s="10" t="inlineStr">
        <is>
          <t>DraftKings closing</t>
        </is>
      </c>
    </row>
    <row r="991">
      <c r="A991" s="9" t="n">
        <v>46093</v>
      </c>
      <c r="B991" s="10" t="inlineStr">
        <is>
          <t>CBJ @ FLA</t>
        </is>
      </c>
      <c r="C991" s="13" t="n">
        <v>82.81</v>
      </c>
      <c r="D991" s="13" t="n">
        <v>71.83</v>
      </c>
      <c r="E991" s="13">
        <f>IF(OR(C991="",D991=""),"",ABS(C991-D991))</f>
        <v/>
      </c>
      <c r="F991" s="11" t="inlineStr">
        <is>
          <t>CBJ</t>
        </is>
      </c>
      <c r="G991" s="12" t="n">
        <v>-125</v>
      </c>
      <c r="H991" s="14">
        <f>IF(OR(F991="",G991="",AND(I991&lt;&gt;"W",I991&lt;&gt;"L")),"",IF(I991="W",IF(G991&gt;0,G991/100,1),IF(G991&lt;0,G991/100,-1)))</f>
        <v/>
      </c>
      <c r="I991" s="11" t="inlineStr">
        <is>
          <t>L</t>
        </is>
      </c>
      <c r="J991" s="10" t="inlineStr">
        <is>
          <t>CBJ 1, FLA 2</t>
        </is>
      </c>
      <c r="K991" s="10" t="inlineStr">
        <is>
          <t>DraftKings closing</t>
        </is>
      </c>
    </row>
    <row r="992">
      <c r="A992" s="9" t="n">
        <v>46093</v>
      </c>
      <c r="B992" s="10" t="inlineStr">
        <is>
          <t>CGY @ NJD</t>
        </is>
      </c>
      <c r="C992" s="13" t="n">
        <v>52.21</v>
      </c>
      <c r="D992" s="13" t="n">
        <v>61.96</v>
      </c>
      <c r="E992" s="13">
        <f>IF(OR(C992="",D992=""),"",ABS(C992-D992))</f>
        <v/>
      </c>
      <c r="F992" s="11" t="inlineStr">
        <is>
          <t>NJD</t>
        </is>
      </c>
      <c r="G992" s="12" t="n">
        <v>-192</v>
      </c>
      <c r="H992" s="14">
        <f>IF(OR(F992="",G992="",AND(I992&lt;&gt;"W",I992&lt;&gt;"L")),"",IF(I992="W",IF(G992&gt;0,G992/100,1),IF(G992&lt;0,G992/100,-1)))</f>
        <v/>
      </c>
      <c r="I992" s="11" t="inlineStr">
        <is>
          <t>L</t>
        </is>
      </c>
      <c r="J992" s="10" t="inlineStr">
        <is>
          <t>CGY 5, NJD 4</t>
        </is>
      </c>
      <c r="K992" s="10" t="inlineStr">
        <is>
          <t>DraftKings closing</t>
        </is>
      </c>
    </row>
    <row r="993">
      <c r="A993" s="9" t="n">
        <v>46093</v>
      </c>
      <c r="B993" s="10" t="inlineStr">
        <is>
          <t>STL @ CAR</t>
        </is>
      </c>
      <c r="C993" s="13" t="n">
        <v>59.06</v>
      </c>
      <c r="D993" s="13" t="n">
        <v>78.16</v>
      </c>
      <c r="E993" s="13">
        <f>IF(OR(C993="",D993=""),"",ABS(C993-D993))</f>
        <v/>
      </c>
      <c r="F993" s="11" t="inlineStr">
        <is>
          <t>CAR</t>
        </is>
      </c>
      <c r="G993" s="12" t="n">
        <v>-290</v>
      </c>
      <c r="H993" s="14">
        <f>IF(OR(F993="",G993="",AND(I993&lt;&gt;"W",I993&lt;&gt;"L")),"",IF(I993="W",IF(G993&gt;0,G993/100,1),IF(G993&lt;0,G993/100,-1)))</f>
        <v/>
      </c>
      <c r="I993" s="11" t="inlineStr">
        <is>
          <t>L</t>
        </is>
      </c>
      <c r="J993" s="10" t="inlineStr">
        <is>
          <t>STL 3, CAR 1</t>
        </is>
      </c>
      <c r="K993" s="10" t="inlineStr">
        <is>
          <t>DraftKings closing</t>
        </is>
      </c>
    </row>
    <row r="994">
      <c r="A994" s="9" t="n">
        <v>46093</v>
      </c>
      <c r="B994" s="10" t="inlineStr">
        <is>
          <t>EDM @ DAL</t>
        </is>
      </c>
      <c r="C994" s="13" t="n">
        <v>68.34</v>
      </c>
      <c r="D994" s="13" t="n">
        <v>69.01000000000001</v>
      </c>
      <c r="E994" s="13">
        <f>IF(OR(C994="",D994=""),"",ABS(C994-D994))</f>
        <v/>
      </c>
      <c r="F994" s="11" t="inlineStr">
        <is>
          <t>DAL</t>
        </is>
      </c>
      <c r="G994" s="12" t="n">
        <v>-130</v>
      </c>
      <c r="H994" s="14">
        <f>IF(OR(F994="",G994="",AND(I994&lt;&gt;"W",I994&lt;&gt;"L")),"",IF(I994="W",IF(G994&gt;0,G994/100,1),IF(G994&lt;0,G994/100,-1)))</f>
        <v/>
      </c>
      <c r="I994" s="11" t="inlineStr">
        <is>
          <t>W</t>
        </is>
      </c>
      <c r="J994" s="10" t="inlineStr">
        <is>
          <t>EDM 2, DAL 7</t>
        </is>
      </c>
      <c r="K994" s="10" t="inlineStr">
        <is>
          <t>DraftKings closing</t>
        </is>
      </c>
    </row>
    <row r="995">
      <c r="A995" s="9" t="n">
        <v>46093</v>
      </c>
      <c r="B995" s="10" t="inlineStr">
        <is>
          <t>PHI @ MIN</t>
        </is>
      </c>
      <c r="C995" s="13" t="n">
        <v>68.05</v>
      </c>
      <c r="D995" s="13" t="n">
        <v>89.59</v>
      </c>
      <c r="E995" s="13">
        <f>IF(OR(C995="",D995=""),"",ABS(C995-D995))</f>
        <v/>
      </c>
      <c r="F995" s="11" t="inlineStr">
        <is>
          <t>MIN</t>
        </is>
      </c>
      <c r="G995" s="12" t="n">
        <v>-225</v>
      </c>
      <c r="H995" s="14">
        <f>IF(OR(F995="",G995="",AND(I995&lt;&gt;"W",I995&lt;&gt;"L")),"",IF(I995="W",IF(G995&gt;0,G995/100,1),IF(G995&lt;0,G995/100,-1)))</f>
        <v/>
      </c>
      <c r="I995" s="11" t="inlineStr">
        <is>
          <t>L</t>
        </is>
      </c>
      <c r="J995" s="10" t="inlineStr">
        <is>
          <t>PHI 3, MIN 2</t>
        </is>
      </c>
      <c r="K995" s="10" t="inlineStr">
        <is>
          <t>DraftKings closing</t>
        </is>
      </c>
    </row>
    <row r="996">
      <c r="A996" s="9" t="n">
        <v>46093</v>
      </c>
      <c r="B996" s="10" t="inlineStr">
        <is>
          <t>NYR @ WPG</t>
        </is>
      </c>
      <c r="C996" s="13" t="n">
        <v>87.79000000000001</v>
      </c>
      <c r="D996" s="13" t="n">
        <v>53.36</v>
      </c>
      <c r="E996" s="13">
        <f>IF(OR(C996="",D996=""),"",ABS(C996-D996))</f>
        <v/>
      </c>
      <c r="F996" s="11" t="inlineStr">
        <is>
          <t>NYR</t>
        </is>
      </c>
      <c r="G996" s="12" t="n">
        <v>130</v>
      </c>
      <c r="H996" s="14">
        <f>IF(OR(F996="",G996="",AND(I996&lt;&gt;"W",I996&lt;&gt;"L")),"",IF(I996="W",IF(G996&gt;0,G996/100,1),IF(G996&lt;0,G996/100,-1)))</f>
        <v/>
      </c>
      <c r="I996" s="11" t="inlineStr">
        <is>
          <t>W</t>
        </is>
      </c>
      <c r="J996" s="10" t="inlineStr">
        <is>
          <t>NYR 6, WPG 3</t>
        </is>
      </c>
      <c r="K996" s="10" t="inlineStr">
        <is>
          <t>DraftKings closing</t>
        </is>
      </c>
    </row>
    <row r="997">
      <c r="A997" s="9" t="n">
        <v>46093</v>
      </c>
      <c r="B997" s="10" t="inlineStr">
        <is>
          <t>CHI @ UTA</t>
        </is>
      </c>
      <c r="C997" s="13" t="n">
        <v>73.12</v>
      </c>
      <c r="D997" s="13" t="n">
        <v>50.41</v>
      </c>
      <c r="E997" s="13">
        <f>IF(OR(C997="",D997=""),"",ABS(C997-D997))</f>
        <v/>
      </c>
      <c r="F997" s="11" t="inlineStr">
        <is>
          <t>CHI</t>
        </is>
      </c>
      <c r="G997" s="12" t="n">
        <v>190</v>
      </c>
      <c r="H997" s="14">
        <f>IF(OR(F997="",G997="",AND(I997&lt;&gt;"W",I997&lt;&gt;"L")),"",IF(I997="W",IF(G997&gt;0,G997/100,1),IF(G997&lt;0,G997/100,-1)))</f>
        <v/>
      </c>
      <c r="I997" s="11" t="inlineStr">
        <is>
          <t>W</t>
        </is>
      </c>
      <c r="J997" s="10" t="inlineStr">
        <is>
          <t>CHI 3, UTA 2</t>
        </is>
      </c>
      <c r="K997" s="10" t="inlineStr">
        <is>
          <t>DraftKings closing</t>
        </is>
      </c>
    </row>
    <row r="998">
      <c r="A998" s="9" t="n">
        <v>46093</v>
      </c>
      <c r="B998" s="10" t="inlineStr">
        <is>
          <t>NSH @ VAN</t>
        </is>
      </c>
      <c r="C998" s="13" t="n">
        <v>66.59</v>
      </c>
      <c r="D998" s="13" t="n">
        <v>60.52</v>
      </c>
      <c r="E998" s="13">
        <f>IF(OR(C998="",D998=""),"",ABS(C998-D998))</f>
        <v/>
      </c>
      <c r="F998" s="11" t="inlineStr">
        <is>
          <t>NSH</t>
        </is>
      </c>
      <c r="G998" s="12" t="n">
        <v>-170</v>
      </c>
      <c r="H998" s="14">
        <f>IF(OR(F998="",G998="",AND(I998&lt;&gt;"W",I998&lt;&gt;"L")),"",IF(I998="W",IF(G998&gt;0,G998/100,1),IF(G998&lt;0,G998/100,-1)))</f>
        <v/>
      </c>
      <c r="I998" s="11" t="inlineStr">
        <is>
          <t>L</t>
        </is>
      </c>
      <c r="J998" s="10" t="inlineStr">
        <is>
          <t>NSH 3, VAN 4</t>
        </is>
      </c>
      <c r="K998" s="10" t="inlineStr">
        <is>
          <t>DraftKings closing</t>
        </is>
      </c>
    </row>
    <row r="999">
      <c r="A999" s="9" t="n">
        <v>46093</v>
      </c>
      <c r="B999" s="10" t="inlineStr">
        <is>
          <t>PIT @ VGK</t>
        </is>
      </c>
      <c r="C999" s="13" t="n">
        <v>61.84</v>
      </c>
      <c r="D999" s="13" t="n">
        <v>70.98999999999999</v>
      </c>
      <c r="E999" s="13">
        <f>IF(OR(C999="",D999=""),"",ABS(C999-D999))</f>
        <v/>
      </c>
      <c r="F999" s="11" t="inlineStr">
        <is>
          <t>VGK</t>
        </is>
      </c>
      <c r="G999" s="12" t="n">
        <v>-170</v>
      </c>
      <c r="H999" s="14">
        <f>IF(OR(F999="",G999="",AND(I999&lt;&gt;"W",I999&lt;&gt;"L")),"",IF(I999="W",IF(G999&gt;0,G999/100,1),IF(G999&lt;0,G999/100,-1)))</f>
        <v/>
      </c>
      <c r="I999" s="11" t="inlineStr">
        <is>
          <t>W</t>
        </is>
      </c>
      <c r="J999" s="10" t="inlineStr">
        <is>
          <t>PIT 2, VGK 6</t>
        </is>
      </c>
      <c r="K999" s="10" t="inlineStr">
        <is>
          <t>DraftKings closing</t>
        </is>
      </c>
    </row>
    <row r="1000">
      <c r="A1000" s="9" t="n">
        <v>46093</v>
      </c>
      <c r="B1000" s="10" t="inlineStr">
        <is>
          <t>COL @ SEA</t>
        </is>
      </c>
      <c r="C1000" s="13" t="n">
        <v>71.66</v>
      </c>
      <c r="D1000" s="13" t="n">
        <v>73.41</v>
      </c>
      <c r="E1000" s="13">
        <f>IF(OR(C1000="",D1000=""),"",ABS(C1000-D1000))</f>
        <v/>
      </c>
      <c r="F1000" s="11" t="inlineStr">
        <is>
          <t>SEA</t>
        </is>
      </c>
      <c r="G1000" s="12" t="n">
        <v>170</v>
      </c>
      <c r="H1000" s="14">
        <f>IF(OR(F1000="",G1000="",AND(I1000&lt;&gt;"W",I1000&lt;&gt;"L")),"",IF(I1000="W",IF(G1000&gt;0,G1000/100,1),IF(G1000&lt;0,G1000/100,-1)))</f>
        <v/>
      </c>
      <c r="I1000" s="11" t="inlineStr">
        <is>
          <t>L</t>
        </is>
      </c>
      <c r="J1000" s="10" t="inlineStr">
        <is>
          <t>COL 5, SEA 1</t>
        </is>
      </c>
      <c r="K1000" s="10" t="inlineStr">
        <is>
          <t>DraftKings closing</t>
        </is>
      </c>
    </row>
    <row r="1001">
      <c r="A1001" s="9" t="n">
        <v>46094</v>
      </c>
      <c r="B1001" s="10" t="inlineStr">
        <is>
          <t>LAK @ NYI</t>
        </is>
      </c>
      <c r="C1001" s="13" t="n">
        <v>66.73</v>
      </c>
      <c r="D1001" s="13" t="n">
        <v>80.94</v>
      </c>
      <c r="E1001" s="13">
        <f>IF(OR(C1001="",D1001=""),"",ABS(C1001-D1001))</f>
        <v/>
      </c>
      <c r="F1001" s="11" t="inlineStr">
        <is>
          <t>NYI</t>
        </is>
      </c>
      <c r="G1001" s="12" t="n">
        <v>-142</v>
      </c>
      <c r="H1001" s="14">
        <f>IF(OR(F1001="",G1001="",AND(I1001&lt;&gt;"W",I1001&lt;&gt;"L")),"",IF(I1001="W",IF(G1001&gt;0,G1001/100,1),IF(G1001&lt;0,G1001/100,-1)))</f>
        <v/>
      </c>
      <c r="I1001" s="11" t="inlineStr">
        <is>
          <t>L</t>
        </is>
      </c>
      <c r="J1001" s="10" t="inlineStr">
        <is>
          <t>LAK 3, NYI 2</t>
        </is>
      </c>
      <c r="K1001" s="10" t="inlineStr">
        <is>
          <t>DraftKings closing</t>
        </is>
      </c>
    </row>
    <row r="1002">
      <c r="A1002" s="9" t="n">
        <v>46094</v>
      </c>
      <c r="B1002" s="10" t="inlineStr">
        <is>
          <t>EDM @ STL</t>
        </is>
      </c>
      <c r="C1002" s="13" t="n">
        <v>53.82</v>
      </c>
      <c r="D1002" s="13" t="n">
        <v>65.16</v>
      </c>
      <c r="E1002" s="13">
        <f>IF(OR(C1002="",D1002=""),"",ABS(C1002-D1002))</f>
        <v/>
      </c>
      <c r="F1002" s="11" t="inlineStr">
        <is>
          <t>STL</t>
        </is>
      </c>
      <c r="G1002" s="12" t="n">
        <v>120</v>
      </c>
      <c r="H1002" s="14">
        <f>IF(OR(F1002="",G1002="",AND(I1002&lt;&gt;"W",I1002&lt;&gt;"L")),"",IF(I1002="W",IF(G1002&gt;0,G1002/100,1),IF(G1002&lt;0,G1002/100,-1)))</f>
        <v/>
      </c>
      <c r="I1002" s="11" t="inlineStr">
        <is>
          <t>W</t>
        </is>
      </c>
      <c r="J1002" s="10" t="inlineStr">
        <is>
          <t>EDM 2, STL 3</t>
        </is>
      </c>
      <c r="K1002" s="10" t="inlineStr">
        <is>
          <t>DraftKings closing</t>
        </is>
      </c>
    </row>
    <row r="1003">
      <c r="A1003" s="9" t="n">
        <v>46095</v>
      </c>
      <c r="B1003" s="10" t="inlineStr">
        <is>
          <t>ANA @ OTT</t>
        </is>
      </c>
      <c r="C1003" s="13" t="n">
        <v>78.68000000000001</v>
      </c>
      <c r="D1003" s="13" t="n">
        <v>70.18000000000001</v>
      </c>
      <c r="E1003" s="13">
        <f>IF(OR(C1003="",D1003=""),"",ABS(C1003-D1003))</f>
        <v/>
      </c>
      <c r="F1003" s="11" t="inlineStr">
        <is>
          <t>ANA</t>
        </is>
      </c>
      <c r="G1003" s="12" t="n">
        <v>150</v>
      </c>
      <c r="H1003" s="14">
        <f>IF(OR(F1003="",G1003="",AND(I1003&lt;&gt;"W",I1003&lt;&gt;"L")),"",IF(I1003="W",IF(G1003&gt;0,G1003/100,1),IF(G1003&lt;0,G1003/100,-1)))</f>
        <v/>
      </c>
      <c r="I1003" s="11" t="inlineStr">
        <is>
          <t>L</t>
        </is>
      </c>
      <c r="J1003" s="10" t="inlineStr">
        <is>
          <t>ANA 0, OTT 2</t>
        </is>
      </c>
      <c r="K1003" s="10" t="inlineStr">
        <is>
          <t>DraftKings closing</t>
        </is>
      </c>
    </row>
    <row r="1004">
      <c r="A1004" s="9" t="n">
        <v>46095</v>
      </c>
      <c r="B1004" s="10" t="inlineStr">
        <is>
          <t>BOS @ WSH</t>
        </is>
      </c>
      <c r="C1004" s="13" t="n">
        <v>71.05</v>
      </c>
      <c r="D1004" s="13" t="n">
        <v>67.58</v>
      </c>
      <c r="E1004" s="13">
        <f>IF(OR(C1004="",D1004=""),"",ABS(C1004-D1004))</f>
        <v/>
      </c>
      <c r="F1004" s="11" t="inlineStr">
        <is>
          <t>BOS</t>
        </is>
      </c>
      <c r="G1004" s="12" t="n">
        <v>110</v>
      </c>
      <c r="H1004" s="14">
        <f>IF(OR(F1004="",G1004="",AND(I1004&lt;&gt;"W",I1004&lt;&gt;"L")),"",IF(I1004="W",IF(G1004&gt;0,G1004/100,1),IF(G1004&lt;0,G1004/100,-1)))</f>
        <v/>
      </c>
      <c r="I1004" s="11" t="inlineStr">
        <is>
          <t>W</t>
        </is>
      </c>
      <c r="J1004" s="10" t="inlineStr">
        <is>
          <t>BOS 3, WSH 2</t>
        </is>
      </c>
      <c r="K1004" s="10" t="inlineStr">
        <is>
          <t>DraftKings closing</t>
        </is>
      </c>
    </row>
    <row r="1005">
      <c r="A1005" s="9" t="n">
        <v>46095</v>
      </c>
      <c r="B1005" s="10" t="inlineStr">
        <is>
          <t>COL @ WPG</t>
        </is>
      </c>
      <c r="C1005" s="13" t="n">
        <v>84.5</v>
      </c>
      <c r="D1005" s="13" t="n">
        <v>68</v>
      </c>
      <c r="E1005" s="13">
        <f>IF(OR(C1005="",D1005=""),"",ABS(C1005-D1005))</f>
        <v/>
      </c>
      <c r="F1005" s="11" t="inlineStr">
        <is>
          <t>COL</t>
        </is>
      </c>
      <c r="G1005" s="12" t="n">
        <v>-185</v>
      </c>
      <c r="H1005" s="14">
        <f>IF(OR(F1005="",G1005="",AND(I1005&lt;&gt;"W",I1005&lt;&gt;"L")),"",IF(I1005="W",IF(G1005&gt;0,G1005/100,1),IF(G1005&lt;0,G1005/100,-1)))</f>
        <v/>
      </c>
      <c r="I1005" s="11" t="inlineStr">
        <is>
          <t>L</t>
        </is>
      </c>
      <c r="J1005" s="10" t="inlineStr">
        <is>
          <t>COL 1, WPG 3</t>
        </is>
      </c>
      <c r="K1005" s="10" t="inlineStr">
        <is>
          <t>DraftKings closing</t>
        </is>
      </c>
    </row>
    <row r="1006">
      <c r="A1006" s="9" t="n">
        <v>46095</v>
      </c>
      <c r="B1006" s="10" t="inlineStr">
        <is>
          <t>NYR @ MIN</t>
        </is>
      </c>
      <c r="C1006" s="13" t="n">
        <v>72</v>
      </c>
      <c r="D1006" s="13" t="n">
        <v>71.27</v>
      </c>
      <c r="E1006" s="13">
        <f>IF(OR(C1006="",D1006=""),"",ABS(C1006-D1006))</f>
        <v/>
      </c>
      <c r="F1006" s="11" t="inlineStr">
        <is>
          <t>NYR</t>
        </is>
      </c>
      <c r="G1006" s="12" t="n">
        <v>164</v>
      </c>
      <c r="H1006" s="14">
        <f>IF(OR(F1006="",G1006="",AND(I1006&lt;&gt;"W",I1006&lt;&gt;"L")),"",IF(I1006="W",IF(G1006&gt;0,G1006/100,1),IF(G1006&lt;0,G1006/100,-1)))</f>
        <v/>
      </c>
      <c r="I1006" s="11" t="inlineStr">
        <is>
          <t>W</t>
        </is>
      </c>
      <c r="J1006" s="10" t="inlineStr">
        <is>
          <t>NYR 4, MIN 2</t>
        </is>
      </c>
      <c r="K1006" s="10" t="inlineStr">
        <is>
          <t>DraftKings closing</t>
        </is>
      </c>
    </row>
    <row r="1007">
      <c r="A1007" s="9" t="n">
        <v>46095</v>
      </c>
      <c r="B1007" s="10" t="inlineStr">
        <is>
          <t>TOR @ BUF</t>
        </is>
      </c>
      <c r="C1007" s="13" t="n">
        <v>61.32</v>
      </c>
      <c r="D1007" s="13" t="n">
        <v>72.42</v>
      </c>
      <c r="E1007" s="13">
        <f>IF(OR(C1007="",D1007=""),"",ABS(C1007-D1007))</f>
        <v/>
      </c>
      <c r="F1007" s="11" t="inlineStr">
        <is>
          <t>BUF</t>
        </is>
      </c>
      <c r="G1007" s="12" t="n">
        <v>-230</v>
      </c>
      <c r="H1007" s="14">
        <f>IF(OR(F1007="",G1007="",AND(I1007&lt;&gt;"W",I1007&lt;&gt;"L")),"",IF(I1007="W",IF(G1007&gt;0,G1007/100,1),IF(G1007&lt;0,G1007/100,-1)))</f>
        <v/>
      </c>
      <c r="I1007" s="11" t="inlineStr">
        <is>
          <t>W</t>
        </is>
      </c>
      <c r="J1007" s="10" t="inlineStr">
        <is>
          <t>TOR 2, BUF 3</t>
        </is>
      </c>
      <c r="K1007" s="10" t="inlineStr">
        <is>
          <t>DraftKings closing</t>
        </is>
      </c>
    </row>
    <row r="1008">
      <c r="A1008" s="9" t="n">
        <v>46095</v>
      </c>
      <c r="B1008" s="10" t="inlineStr">
        <is>
          <t>SJS @ MTL</t>
        </is>
      </c>
      <c r="C1008" s="13" t="n">
        <v>68.95</v>
      </c>
      <c r="D1008" s="13" t="n">
        <v>69.81999999999999</v>
      </c>
      <c r="E1008" s="13">
        <f>IF(OR(C1008="",D1008=""),"",ABS(C1008-D1008))</f>
        <v/>
      </c>
      <c r="F1008" s="11" t="inlineStr">
        <is>
          <t>MTL</t>
        </is>
      </c>
      <c r="G1008" s="12" t="n">
        <v>-155</v>
      </c>
      <c r="H1008" s="14">
        <f>IF(OR(F1008="",G1008="",AND(I1008&lt;&gt;"W",I1008&lt;&gt;"L")),"",IF(I1008="W",IF(G1008&gt;0,G1008/100,1),IF(G1008&lt;0,G1008/100,-1)))</f>
        <v/>
      </c>
      <c r="I1008" s="11" t="inlineStr">
        <is>
          <t>L</t>
        </is>
      </c>
      <c r="J1008" s="10" t="inlineStr">
        <is>
          <t>SJS 4, MTL 2</t>
        </is>
      </c>
      <c r="K1008" s="10" t="inlineStr">
        <is>
          <t>DraftKings closing</t>
        </is>
      </c>
    </row>
    <row r="1009">
      <c r="A1009" s="9" t="n">
        <v>46095</v>
      </c>
      <c r="B1009" s="10" t="inlineStr">
        <is>
          <t>CAR @ TBL</t>
        </is>
      </c>
      <c r="C1009" s="13" t="n">
        <v>74.84</v>
      </c>
      <c r="D1009" s="13" t="n">
        <v>81.90000000000001</v>
      </c>
      <c r="E1009" s="13">
        <f>IF(OR(C1009="",D1009=""),"",ABS(C1009-D1009))</f>
        <v/>
      </c>
      <c r="F1009" s="11" t="inlineStr">
        <is>
          <t>TBL</t>
        </is>
      </c>
      <c r="G1009" s="12" t="n">
        <v>-130</v>
      </c>
      <c r="H1009" s="14">
        <f>IF(OR(F1009="",G1009="",AND(I1009&lt;&gt;"W",I1009&lt;&gt;"L")),"",IF(I1009="W",IF(G1009&gt;0,G1009/100,1),IF(G1009&lt;0,G1009/100,-1)))</f>
        <v/>
      </c>
      <c r="I1009" s="11" t="inlineStr">
        <is>
          <t>L</t>
        </is>
      </c>
      <c r="J1009" s="10" t="inlineStr">
        <is>
          <t>CAR 4, TBL 2</t>
        </is>
      </c>
      <c r="K1009" s="10" t="inlineStr">
        <is>
          <t>DraftKings closing</t>
        </is>
      </c>
    </row>
    <row r="1010">
      <c r="A1010" s="9" t="n">
        <v>46095</v>
      </c>
      <c r="B1010" s="10" t="inlineStr">
        <is>
          <t>LAK @ NJD</t>
        </is>
      </c>
      <c r="C1010" s="13" t="n">
        <v>74.31999999999999</v>
      </c>
      <c r="D1010" s="13" t="n">
        <v>72.43000000000001</v>
      </c>
      <c r="E1010" s="13">
        <f>IF(OR(C1010="",D1010=""),"",ABS(C1010-D1010))</f>
        <v/>
      </c>
      <c r="F1010" s="11" t="inlineStr">
        <is>
          <t>LAK</t>
        </is>
      </c>
      <c r="G1010" s="12" t="n">
        <v>130</v>
      </c>
      <c r="H1010" s="14">
        <f>IF(OR(F1010="",G1010="",AND(I1010&lt;&gt;"W",I1010&lt;&gt;"L")),"",IF(I1010="W",IF(G1010&gt;0,G1010/100,1),IF(G1010&lt;0,G1010/100,-1)))</f>
        <v/>
      </c>
      <c r="I1010" s="11" t="inlineStr">
        <is>
          <t>L</t>
        </is>
      </c>
      <c r="J1010" s="10" t="inlineStr">
        <is>
          <t>LAK 4, NJD 6</t>
        </is>
      </c>
      <c r="K1010" s="10" t="inlineStr">
        <is>
          <t>DraftKings closing</t>
        </is>
      </c>
    </row>
    <row r="1011">
      <c r="A1011" s="9" t="n">
        <v>46095</v>
      </c>
      <c r="B1011" s="10" t="inlineStr">
        <is>
          <t>CGY @ NYI</t>
        </is>
      </c>
      <c r="C1011" s="13" t="n">
        <v>67.56999999999999</v>
      </c>
      <c r="D1011" s="13" t="n">
        <v>65.68000000000001</v>
      </c>
      <c r="E1011" s="13">
        <f>IF(OR(C1011="",D1011=""),"",ABS(C1011-D1011))</f>
        <v/>
      </c>
      <c r="F1011" s="11" t="inlineStr">
        <is>
          <t>CGY</t>
        </is>
      </c>
      <c r="G1011" s="12" t="n">
        <v>124</v>
      </c>
      <c r="H1011" s="14">
        <f>IF(OR(F1011="",G1011="",AND(I1011&lt;&gt;"W",I1011&lt;&gt;"L")),"",IF(I1011="W",IF(G1011&gt;0,G1011/100,1),IF(G1011&lt;0,G1011/100,-1)))</f>
        <v/>
      </c>
      <c r="I1011" s="11" t="inlineStr">
        <is>
          <t>L</t>
        </is>
      </c>
      <c r="J1011" s="10" t="inlineStr">
        <is>
          <t>CGY 2, NYI 3</t>
        </is>
      </c>
      <c r="K1011" s="10" t="inlineStr">
        <is>
          <t>DraftKings closing</t>
        </is>
      </c>
    </row>
    <row r="1012">
      <c r="A1012" s="9" t="n">
        <v>46095</v>
      </c>
      <c r="B1012" s="10" t="inlineStr">
        <is>
          <t>CBJ @ PHI</t>
        </is>
      </c>
      <c r="C1012" s="13" t="n">
        <v>71.75</v>
      </c>
      <c r="D1012" s="13" t="n">
        <v>68.73</v>
      </c>
      <c r="E1012" s="13">
        <f>IF(OR(C1012="",D1012=""),"",ABS(C1012-D1012))</f>
        <v/>
      </c>
      <c r="F1012" s="11" t="inlineStr">
        <is>
          <t>CBJ</t>
        </is>
      </c>
      <c r="G1012" s="12" t="n">
        <v>-142</v>
      </c>
      <c r="H1012" s="14">
        <f>IF(OR(F1012="",G1012="",AND(I1012&lt;&gt;"W",I1012&lt;&gt;"L")),"",IF(I1012="W",IF(G1012&gt;0,G1012/100,1),IF(G1012&lt;0,G1012/100,-1)))</f>
        <v/>
      </c>
      <c r="I1012" s="11" t="inlineStr">
        <is>
          <t>W</t>
        </is>
      </c>
      <c r="J1012" s="10" t="inlineStr">
        <is>
          <t>CBJ 2, PHI 1</t>
        </is>
      </c>
      <c r="K1012" s="10" t="inlineStr">
        <is>
          <t>DraftKings closing</t>
        </is>
      </c>
    </row>
    <row r="1013">
      <c r="A1013" s="9" t="n">
        <v>46095</v>
      </c>
      <c r="B1013" s="10" t="inlineStr">
        <is>
          <t>DET @ DAL</t>
        </is>
      </c>
      <c r="C1013" s="13" t="n">
        <v>58.1</v>
      </c>
      <c r="D1013" s="13" t="n">
        <v>86.18000000000001</v>
      </c>
      <c r="E1013" s="13">
        <f>IF(OR(C1013="",D1013=""),"",ABS(C1013-D1013))</f>
        <v/>
      </c>
      <c r="F1013" s="11" t="inlineStr">
        <is>
          <t>DAL</t>
        </is>
      </c>
      <c r="G1013" s="12" t="n">
        <v>-192</v>
      </c>
      <c r="H1013" s="14">
        <f>IF(OR(F1013="",G1013="",AND(I1013&lt;&gt;"W",I1013&lt;&gt;"L")),"",IF(I1013="W",IF(G1013&gt;0,G1013/100,1),IF(G1013&lt;0,G1013/100,-1)))</f>
        <v/>
      </c>
      <c r="I1013" s="11" t="inlineStr">
        <is>
          <t>W</t>
        </is>
      </c>
      <c r="J1013" s="10" t="inlineStr">
        <is>
          <t>DET 2, DAL 3</t>
        </is>
      </c>
      <c r="K1013" s="10" t="inlineStr">
        <is>
          <t>DraftKings closing</t>
        </is>
      </c>
    </row>
    <row r="1014">
      <c r="A1014" s="9" t="n">
        <v>46095</v>
      </c>
      <c r="B1014" s="10" t="inlineStr">
        <is>
          <t>PIT @ UTA</t>
        </is>
      </c>
      <c r="C1014" s="13" t="n">
        <v>66.73999999999999</v>
      </c>
      <c r="D1014" s="13" t="n">
        <v>79.95</v>
      </c>
      <c r="E1014" s="13">
        <f>IF(OR(C1014="",D1014=""),"",ABS(C1014-D1014))</f>
        <v/>
      </c>
      <c r="F1014" s="11" t="inlineStr">
        <is>
          <t>UTA</t>
        </is>
      </c>
      <c r="G1014" s="12" t="n">
        <v>-155</v>
      </c>
      <c r="H1014" s="14">
        <f>IF(OR(F1014="",G1014="",AND(I1014&lt;&gt;"W",I1014&lt;&gt;"L")),"",IF(I1014="W",IF(G1014&gt;0,G1014/100,1),IF(G1014&lt;0,G1014/100,-1)))</f>
        <v/>
      </c>
      <c r="I1014" s="11" t="inlineStr">
        <is>
          <t>L</t>
        </is>
      </c>
      <c r="J1014" s="10" t="inlineStr">
        <is>
          <t>PIT 4, UTA 3</t>
        </is>
      </c>
      <c r="K1014" s="10" t="inlineStr">
        <is>
          <t>DraftKings closing</t>
        </is>
      </c>
    </row>
    <row r="1015">
      <c r="A1015" s="9" t="n">
        <v>46095</v>
      </c>
      <c r="B1015" s="10" t="inlineStr">
        <is>
          <t>SEA @ VAN</t>
        </is>
      </c>
      <c r="C1015" s="13" t="n">
        <v>55.5</v>
      </c>
      <c r="D1015" s="13" t="n">
        <v>78.93000000000001</v>
      </c>
      <c r="E1015" s="13">
        <f>IF(OR(C1015="",D1015=""),"",ABS(C1015-D1015))</f>
        <v/>
      </c>
      <c r="F1015" s="11" t="inlineStr">
        <is>
          <t>VAN</t>
        </is>
      </c>
      <c r="G1015" s="12" t="n">
        <v>120</v>
      </c>
      <c r="H1015" s="14">
        <f>IF(OR(F1015="",G1015="",AND(I1015&lt;&gt;"W",I1015&lt;&gt;"L")),"",IF(I1015="W",IF(G1015&gt;0,G1015/100,1),IF(G1015&lt;0,G1015/100,-1)))</f>
        <v/>
      </c>
      <c r="I1015" s="11" t="inlineStr">
        <is>
          <t>L</t>
        </is>
      </c>
      <c r="J1015" s="10" t="inlineStr">
        <is>
          <t>SEA 5, VAN 2</t>
        </is>
      </c>
      <c r="K1015" s="10" t="inlineStr">
        <is>
          <t>DraftKings closing</t>
        </is>
      </c>
    </row>
    <row r="1016">
      <c r="A1016" s="9" t="n">
        <v>46095</v>
      </c>
      <c r="B1016" s="10" t="inlineStr">
        <is>
          <t>CHI @ VGK</t>
        </is>
      </c>
      <c r="C1016" s="13" t="n">
        <v>60.05</v>
      </c>
      <c r="D1016" s="13" t="n">
        <v>73.26000000000001</v>
      </c>
      <c r="E1016" s="13">
        <f>IF(OR(C1016="",D1016=""),"",ABS(C1016-D1016))</f>
        <v/>
      </c>
      <c r="F1016" s="11" t="inlineStr">
        <is>
          <t>VGK</t>
        </is>
      </c>
      <c r="G1016" s="12" t="n">
        <v>-225</v>
      </c>
      <c r="H1016" s="14">
        <f>IF(OR(F1016="",G1016="",AND(I1016&lt;&gt;"W",I1016&lt;&gt;"L")),"",IF(I1016="W",IF(G1016&gt;0,G1016/100,1),IF(G1016&lt;0,G1016/100,-1)))</f>
        <v/>
      </c>
      <c r="I1016" s="11" t="inlineStr">
        <is>
          <t>W</t>
        </is>
      </c>
      <c r="J1016" s="10" t="inlineStr">
        <is>
          <t>CHI 0, VGK 4</t>
        </is>
      </c>
      <c r="K1016" s="10" t="inlineStr">
        <is>
          <t>DraftKings closing</t>
        </is>
      </c>
    </row>
    <row r="1017">
      <c r="A1017" s="9" t="n">
        <v>46096</v>
      </c>
      <c r="B1017" s="10" t="inlineStr">
        <is>
          <t>STL @ WPG</t>
        </is>
      </c>
      <c r="C1017" s="13" t="n">
        <v>67.17</v>
      </c>
      <c r="D1017" s="13" t="n">
        <v>60.71</v>
      </c>
      <c r="E1017" s="13">
        <f>IF(OR(C1017="",D1017=""),"",ABS(C1017-D1017))</f>
        <v/>
      </c>
      <c r="F1017" s="11" t="inlineStr">
        <is>
          <t>STL</t>
        </is>
      </c>
      <c r="G1017" s="12" t="n">
        <v>-112</v>
      </c>
      <c r="H1017" s="14">
        <f>IF(OR(F1017="",G1017="",AND(I1017&lt;&gt;"W",I1017&lt;&gt;"L")),"",IF(I1017="W",IF(G1017&gt;0,G1017/100,1),IF(G1017&lt;0,G1017/100,-1)))</f>
        <v/>
      </c>
      <c r="I1017" s="11" t="inlineStr">
        <is>
          <t>L</t>
        </is>
      </c>
      <c r="J1017" s="10" t="inlineStr">
        <is>
          <t>STL 2, WPG 3</t>
        </is>
      </c>
      <c r="K1017" s="10" t="inlineStr">
        <is>
          <t>DraftKings closing</t>
        </is>
      </c>
    </row>
    <row r="1018">
      <c r="A1018" s="9" t="n">
        <v>46096</v>
      </c>
      <c r="B1018" s="10" t="inlineStr">
        <is>
          <t>SJS @ OTT</t>
        </is>
      </c>
      <c r="C1018" s="13" t="n">
        <v>72.12</v>
      </c>
      <c r="D1018" s="13" t="n">
        <v>78.02</v>
      </c>
      <c r="E1018" s="13">
        <f>IF(OR(C1018="",D1018=""),"",ABS(C1018-D1018))</f>
        <v/>
      </c>
      <c r="F1018" s="11" t="inlineStr">
        <is>
          <t>OTT</t>
        </is>
      </c>
      <c r="G1018" s="12" t="n">
        <v>-205</v>
      </c>
      <c r="H1018" s="14">
        <f>IF(OR(F1018="",G1018="",AND(I1018&lt;&gt;"W",I1018&lt;&gt;"L")),"",IF(I1018="W",IF(G1018&gt;0,G1018/100,1),IF(G1018&lt;0,G1018/100,-1)))</f>
        <v/>
      </c>
      <c r="I1018" s="11" t="inlineStr">
        <is>
          <t>W</t>
        </is>
      </c>
      <c r="J1018" s="10" t="inlineStr">
        <is>
          <t>SJS 4, OTT 7</t>
        </is>
      </c>
      <c r="K1018" s="10" t="inlineStr">
        <is>
          <t>DraftKings closing</t>
        </is>
      </c>
    </row>
    <row r="1019">
      <c r="A1019" s="9" t="n">
        <v>46096</v>
      </c>
      <c r="B1019" s="10" t="inlineStr">
        <is>
          <t>ANA @ MTL</t>
        </is>
      </c>
      <c r="C1019" s="13" t="n">
        <v>61.98</v>
      </c>
      <c r="D1019" s="13" t="n">
        <v>67.88</v>
      </c>
      <c r="E1019" s="13">
        <f>IF(OR(C1019="",D1019=""),"",ABS(C1019-D1019))</f>
        <v/>
      </c>
      <c r="F1019" s="11" t="inlineStr">
        <is>
          <t>MTL</t>
        </is>
      </c>
      <c r="G1019" s="12" t="n">
        <v>-142</v>
      </c>
      <c r="H1019" s="14">
        <f>IF(OR(F1019="",G1019="",AND(I1019&lt;&gt;"W",I1019&lt;&gt;"L")),"",IF(I1019="W",IF(G1019&gt;0,G1019/100,1),IF(G1019&lt;0,G1019/100,-1)))</f>
        <v/>
      </c>
      <c r="I1019" s="11" t="inlineStr">
        <is>
          <t>L</t>
        </is>
      </c>
      <c r="J1019" s="10" t="inlineStr">
        <is>
          <t>ANA 4, MTL 3</t>
        </is>
      </c>
      <c r="K1019" s="10" t="inlineStr">
        <is>
          <t>DraftKings closing</t>
        </is>
      </c>
    </row>
    <row r="1020">
      <c r="A1020" s="9" t="n">
        <v>46096</v>
      </c>
      <c r="B1020" s="10" t="inlineStr">
        <is>
          <t>TOR @ MIN</t>
        </is>
      </c>
      <c r="C1020" s="13" t="n">
        <v>58.66</v>
      </c>
      <c r="D1020" s="13" t="n">
        <v>72.37</v>
      </c>
      <c r="E1020" s="13">
        <f>IF(OR(C1020="",D1020=""),"",ABS(C1020-D1020))</f>
        <v/>
      </c>
      <c r="F1020" s="11" t="inlineStr">
        <is>
          <t>MIN</t>
        </is>
      </c>
      <c r="G1020" s="12" t="n">
        <v>-265</v>
      </c>
      <c r="H1020" s="14">
        <f>IF(OR(F1020="",G1020="",AND(I1020&lt;&gt;"W",I1020&lt;&gt;"L")),"",IF(I1020="W",IF(G1020&gt;0,G1020/100,1),IF(G1020&lt;0,G1020/100,-1)))</f>
        <v/>
      </c>
      <c r="I1020" s="11" t="inlineStr">
        <is>
          <t>L</t>
        </is>
      </c>
      <c r="J1020" s="10" t="inlineStr">
        <is>
          <t>TOR 4, MIN 2</t>
        </is>
      </c>
      <c r="K1020" s="10" t="inlineStr">
        <is>
          <t>DraftKings closing</t>
        </is>
      </c>
    </row>
    <row r="1021">
      <c r="A1021" s="9" t="n">
        <v>46096</v>
      </c>
      <c r="B1021" s="10" t="inlineStr">
        <is>
          <t>NSH @ EDM</t>
        </is>
      </c>
      <c r="C1021" s="13" t="n">
        <v>61.07</v>
      </c>
      <c r="D1021" s="13" t="n">
        <v>72.83</v>
      </c>
      <c r="E1021" s="13">
        <f>IF(OR(C1021="",D1021=""),"",ABS(C1021-D1021))</f>
        <v/>
      </c>
      <c r="F1021" s="11" t="inlineStr">
        <is>
          <t>EDM</t>
        </is>
      </c>
      <c r="G1021" s="12" t="n">
        <v>-192</v>
      </c>
      <c r="H1021" s="14">
        <f>IF(OR(F1021="",G1021="",AND(I1021&lt;&gt;"W",I1021&lt;&gt;"L")),"",IF(I1021="W",IF(G1021&gt;0,G1021/100,1),IF(G1021&lt;0,G1021/100,-1)))</f>
        <v/>
      </c>
      <c r="I1021" s="11" t="inlineStr">
        <is>
          <t>W</t>
        </is>
      </c>
      <c r="J1021" s="10" t="inlineStr">
        <is>
          <t>NSH 1, EDM 3</t>
        </is>
      </c>
      <c r="K1021" s="10" t="inlineStr">
        <is>
          <t>DraftKings closing</t>
        </is>
      </c>
    </row>
    <row r="1022">
      <c r="A1022" s="9" t="n">
        <v>46096</v>
      </c>
      <c r="B1022" s="10" t="inlineStr">
        <is>
          <t>FLA @ SEA</t>
        </is>
      </c>
      <c r="C1022" s="13" t="n">
        <v>68.25</v>
      </c>
      <c r="D1022" s="13" t="n">
        <v>79.91</v>
      </c>
      <c r="E1022" s="13">
        <f>IF(OR(C1022="",D1022=""),"",ABS(C1022-D1022))</f>
        <v/>
      </c>
      <c r="F1022" s="11" t="inlineStr">
        <is>
          <t>SEA</t>
        </is>
      </c>
      <c r="G1022" s="12" t="n">
        <v>110</v>
      </c>
      <c r="H1022" s="14">
        <f>IF(OR(F1022="",G1022="",AND(I1022&lt;&gt;"W",I1022&lt;&gt;"L")),"",IF(I1022="W",IF(G1022&gt;0,G1022/100,1),IF(G1022&lt;0,G1022/100,-1)))</f>
        <v/>
      </c>
      <c r="I1022" s="11" t="inlineStr">
        <is>
          <t>W</t>
        </is>
      </c>
      <c r="J1022" s="10" t="inlineStr">
        <is>
          <t>FLA 2, SEA 6</t>
        </is>
      </c>
      <c r="K1022" s="10" t="inlineStr">
        <is>
          <t>DraftKings closing</t>
        </is>
      </c>
    </row>
    <row r="1023">
      <c r="A1023" s="9" t="n">
        <v>46097</v>
      </c>
      <c r="B1023" s="10" t="inlineStr">
        <is>
          <t>CGY @ DET</t>
        </is>
      </c>
      <c r="C1023" s="13" t="n">
        <v>68.8</v>
      </c>
      <c r="D1023" s="13" t="n">
        <v>65.76000000000001</v>
      </c>
      <c r="E1023" s="13">
        <f>IF(OR(C1023="",D1023=""),"",ABS(C1023-D1023))</f>
        <v/>
      </c>
      <c r="F1023" s="11" t="inlineStr">
        <is>
          <t>CGY</t>
        </is>
      </c>
      <c r="G1023" s="12" t="n">
        <v>154</v>
      </c>
      <c r="H1023" s="14">
        <f>IF(OR(F1023="",G1023="",AND(I1023&lt;&gt;"W",I1023&lt;&gt;"L")),"",IF(I1023="W",IF(G1023&gt;0,G1023/100,1),IF(G1023&lt;0,G1023/100,-1)))</f>
        <v/>
      </c>
      <c r="I1023" s="11" t="inlineStr">
        <is>
          <t>L</t>
        </is>
      </c>
      <c r="J1023" s="10" t="inlineStr">
        <is>
          <t>CGY 2, DET 5</t>
        </is>
      </c>
      <c r="K1023" s="10" t="inlineStr">
        <is>
          <t>DraftKings closing</t>
        </is>
      </c>
    </row>
    <row r="1024">
      <c r="A1024" s="9" t="n">
        <v>46097</v>
      </c>
      <c r="B1024" s="10" t="inlineStr">
        <is>
          <t>BOS @ NJD</t>
        </is>
      </c>
      <c r="C1024" s="13" t="n">
        <v>71.75</v>
      </c>
      <c r="D1024" s="13" t="n">
        <v>67.84</v>
      </c>
      <c r="E1024" s="13">
        <f>IF(OR(C1024="",D1024=""),"",ABS(C1024-D1024))</f>
        <v/>
      </c>
      <c r="F1024" s="11" t="inlineStr">
        <is>
          <t>BOS</t>
        </is>
      </c>
      <c r="G1024" s="12" t="n">
        <v>105</v>
      </c>
      <c r="H1024" s="14">
        <f>IF(OR(F1024="",G1024="",AND(I1024&lt;&gt;"W",I1024&lt;&gt;"L")),"",IF(I1024="W",IF(G1024&gt;0,G1024/100,1),IF(G1024&lt;0,G1024/100,-1)))</f>
        <v/>
      </c>
      <c r="I1024" s="11" t="inlineStr">
        <is>
          <t>L</t>
        </is>
      </c>
      <c r="J1024" s="10" t="inlineStr">
        <is>
          <t>BOS 3, NJD 4</t>
        </is>
      </c>
      <c r="K1024" s="10" t="inlineStr">
        <is>
          <t>DraftKings closing</t>
        </is>
      </c>
    </row>
    <row r="1025">
      <c r="A1025" s="9" t="n">
        <v>46097</v>
      </c>
      <c r="B1025" s="10" t="inlineStr">
        <is>
          <t>LAK @ NYR</t>
        </is>
      </c>
      <c r="C1025" s="13" t="n">
        <v>72.16</v>
      </c>
      <c r="D1025" s="13" t="n">
        <v>67.63</v>
      </c>
      <c r="E1025" s="13">
        <f>IF(OR(C1025="",D1025=""),"",ABS(C1025-D1025))</f>
        <v/>
      </c>
      <c r="F1025" s="11" t="inlineStr">
        <is>
          <t>LAK</t>
        </is>
      </c>
      <c r="G1025" s="12" t="n">
        <v>-110</v>
      </c>
      <c r="H1025" s="14">
        <f>IF(OR(F1025="",G1025="",AND(I1025&lt;&gt;"W",I1025&lt;&gt;"L")),"",IF(I1025="W",IF(G1025&gt;0,G1025/100,1),IF(G1025&lt;0,G1025/100,-1)))</f>
        <v/>
      </c>
      <c r="I1025" s="11" t="inlineStr">
        <is>
          <t>W</t>
        </is>
      </c>
      <c r="J1025" s="10" t="inlineStr">
        <is>
          <t>LAK 4, NYR 1</t>
        </is>
      </c>
      <c r="K1025" s="10" t="inlineStr">
        <is>
          <t>DraftKings closing</t>
        </is>
      </c>
    </row>
    <row r="1026">
      <c r="A1026" s="9" t="n">
        <v>46097</v>
      </c>
      <c r="B1026" s="10" t="inlineStr">
        <is>
          <t>UTA @ DAL</t>
        </is>
      </c>
      <c r="C1026" s="13" t="n">
        <v>74.83</v>
      </c>
      <c r="D1026" s="13" t="n">
        <v>74.23999999999999</v>
      </c>
      <c r="E1026" s="13">
        <f>IF(OR(C1026="",D1026=""),"",ABS(C1026-D1026))</f>
        <v/>
      </c>
      <c r="F1026" s="11" t="inlineStr">
        <is>
          <t>UTA</t>
        </is>
      </c>
      <c r="G1026" s="12" t="n">
        <v>136</v>
      </c>
      <c r="H1026" s="14">
        <f>IF(OR(F1026="",G1026="",AND(I1026&lt;&gt;"W",I1026&lt;&gt;"L")),"",IF(I1026="W",IF(G1026&gt;0,G1026/100,1),IF(G1026&lt;0,G1026/100,-1)))</f>
        <v/>
      </c>
      <c r="I1026" s="11" t="inlineStr">
        <is>
          <t>W</t>
        </is>
      </c>
      <c r="J1026" s="10" t="inlineStr">
        <is>
          <t>UTA 6, DAL 3</t>
        </is>
      </c>
      <c r="K1026" s="10" t="inlineStr">
        <is>
          <t>DraftKings closing</t>
        </is>
      </c>
    </row>
    <row r="1027">
      <c r="A1027" s="9" t="n">
        <v>46097</v>
      </c>
      <c r="B1027" s="10" t="inlineStr">
        <is>
          <t>PIT @ COL</t>
        </is>
      </c>
      <c r="C1027" s="13" t="n">
        <v>65.17</v>
      </c>
      <c r="D1027" s="13" t="n">
        <v>79.29000000000001</v>
      </c>
      <c r="E1027" s="13">
        <f>IF(OR(C1027="",D1027=""),"",ABS(C1027-D1027))</f>
        <v/>
      </c>
      <c r="F1027" s="11" t="inlineStr">
        <is>
          <t>COL</t>
        </is>
      </c>
      <c r="G1027" s="12" t="n">
        <v>-218</v>
      </c>
      <c r="H1027" s="14">
        <f>IF(OR(F1027="",G1027="",AND(I1027&lt;&gt;"W",I1027&lt;&gt;"L")),"",IF(I1027="W",IF(G1027&gt;0,G1027/100,1),IF(G1027&lt;0,G1027/100,-1)))</f>
        <v/>
      </c>
      <c r="I1027" s="11" t="inlineStr">
        <is>
          <t>L</t>
        </is>
      </c>
      <c r="J1027" s="10" t="inlineStr">
        <is>
          <t>PIT 7, COL 2</t>
        </is>
      </c>
      <c r="K1027" s="10" t="inlineStr">
        <is>
          <t>DraftKings closing</t>
        </is>
      </c>
    </row>
    <row r="1028">
      <c r="A1028" s="9" t="n">
        <v>46098</v>
      </c>
      <c r="B1028" s="10" t="inlineStr">
        <is>
          <t>NYI @ TOR</t>
        </is>
      </c>
      <c r="C1028" s="13" t="n">
        <v>71.2</v>
      </c>
      <c r="D1028" s="13" t="n">
        <v>61.3</v>
      </c>
      <c r="E1028" s="13">
        <f>IF(OR(C1028="",D1028=""),"",ABS(C1028-D1028))</f>
        <v/>
      </c>
      <c r="F1028" s="11" t="inlineStr">
        <is>
          <t>NYI</t>
        </is>
      </c>
      <c r="G1028" s="12" t="n">
        <v>-162</v>
      </c>
      <c r="H1028" s="14">
        <f>IF(OR(F1028="",G1028="",AND(I1028&lt;&gt;"W",I1028&lt;&gt;"L")),"",IF(I1028="W",IF(G1028&gt;0,G1028/100,1),IF(G1028&lt;0,G1028/100,-1)))</f>
        <v/>
      </c>
      <c r="I1028" s="11" t="inlineStr">
        <is>
          <t>W</t>
        </is>
      </c>
      <c r="J1028" s="10" t="inlineStr">
        <is>
          <t>NYI 3, TOR 1</t>
        </is>
      </c>
      <c r="K1028" s="10" t="inlineStr">
        <is>
          <t>DraftKings closing</t>
        </is>
      </c>
    </row>
    <row r="1029">
      <c r="A1029" s="9" t="n">
        <v>46098</v>
      </c>
      <c r="B1029" s="10" t="inlineStr">
        <is>
          <t>BOS @ MTL</t>
        </is>
      </c>
      <c r="C1029" s="13" t="n">
        <v>59.47</v>
      </c>
      <c r="D1029" s="13" t="n">
        <v>64</v>
      </c>
      <c r="E1029" s="13">
        <f>IF(OR(C1029="",D1029=""),"",ABS(C1029-D1029))</f>
        <v/>
      </c>
      <c r="F1029" s="11" t="inlineStr">
        <is>
          <t>MTL</t>
        </is>
      </c>
      <c r="G1029" s="12" t="n">
        <v>-155</v>
      </c>
      <c r="H1029" s="14">
        <f>IF(OR(F1029="",G1029="",AND(I1029&lt;&gt;"W",I1029&lt;&gt;"L")),"",IF(I1029="W",IF(G1029&gt;0,G1029/100,1),IF(G1029&lt;0,G1029/100,-1)))</f>
        <v/>
      </c>
      <c r="I1029" s="11" t="inlineStr">
        <is>
          <t>W</t>
        </is>
      </c>
      <c r="J1029" s="10" t="inlineStr">
        <is>
          <t>BOS 2, MTL 3</t>
        </is>
      </c>
      <c r="K1029" s="10" t="inlineStr">
        <is>
          <t>DraftKings closing</t>
        </is>
      </c>
    </row>
    <row r="1030">
      <c r="A1030" s="9" t="n">
        <v>46098</v>
      </c>
      <c r="B1030" s="10" t="inlineStr">
        <is>
          <t>CAR @ CBJ</t>
        </is>
      </c>
      <c r="C1030" s="13" t="n">
        <v>84.14</v>
      </c>
      <c r="D1030" s="13" t="n">
        <v>77.97</v>
      </c>
      <c r="E1030" s="13">
        <f>IF(OR(C1030="",D1030=""),"",ABS(C1030-D1030))</f>
        <v/>
      </c>
      <c r="F1030" s="11" t="inlineStr">
        <is>
          <t>CAR</t>
        </is>
      </c>
      <c r="G1030" s="12" t="n">
        <v>-120</v>
      </c>
      <c r="H1030" s="14">
        <f>IF(OR(F1030="",G1030="",AND(I1030&lt;&gt;"W",I1030&lt;&gt;"L")),"",IF(I1030="W",IF(G1030&gt;0,G1030/100,1),IF(G1030&lt;0,G1030/100,-1)))</f>
        <v/>
      </c>
      <c r="I1030" s="11" t="inlineStr">
        <is>
          <t>L</t>
        </is>
      </c>
      <c r="J1030" s="10" t="inlineStr">
        <is>
          <t>CAR 1, CBJ 5</t>
        </is>
      </c>
      <c r="K1030" s="10" t="inlineStr">
        <is>
          <t>DraftKings closing</t>
        </is>
      </c>
    </row>
    <row r="1031">
      <c r="A1031" s="9" t="n">
        <v>46098</v>
      </c>
      <c r="B1031" s="10" t="inlineStr">
        <is>
          <t>MIN @ CHI</t>
        </is>
      </c>
      <c r="C1031" s="13" t="n">
        <v>78.7</v>
      </c>
      <c r="D1031" s="13" t="n">
        <v>50.94</v>
      </c>
      <c r="E1031" s="13">
        <f>IF(OR(C1031="",D1031=""),"",ABS(C1031-D1031))</f>
        <v/>
      </c>
      <c r="F1031" s="11" t="inlineStr">
        <is>
          <t>MIN</t>
        </is>
      </c>
      <c r="G1031" s="12" t="n">
        <v>-180</v>
      </c>
      <c r="H1031" s="14">
        <f>IF(OR(F1031="",G1031="",AND(I1031&lt;&gt;"W",I1031&lt;&gt;"L")),"",IF(I1031="W",IF(G1031&gt;0,G1031/100,1),IF(G1031&lt;0,G1031/100,-1)))</f>
        <v/>
      </c>
      <c r="I1031" s="11" t="inlineStr">
        <is>
          <t>W</t>
        </is>
      </c>
      <c r="J1031" s="10" t="inlineStr">
        <is>
          <t>MIN 4, CHI 3</t>
        </is>
      </c>
      <c r="K1031" s="10" t="inlineStr">
        <is>
          <t>DraftKings closing</t>
        </is>
      </c>
    </row>
    <row r="1032">
      <c r="A1032" s="9" t="n">
        <v>46098</v>
      </c>
      <c r="B1032" s="10" t="inlineStr">
        <is>
          <t>NSH @ WPG</t>
        </is>
      </c>
      <c r="C1032" s="13" t="n">
        <v>63.35</v>
      </c>
      <c r="D1032" s="13" t="n">
        <v>63.62</v>
      </c>
      <c r="E1032" s="13">
        <f>IF(OR(C1032="",D1032=""),"",ABS(C1032-D1032))</f>
        <v/>
      </c>
      <c r="F1032" s="11" t="inlineStr">
        <is>
          <t>WPG</t>
        </is>
      </c>
      <c r="G1032" s="12" t="n">
        <v>-130</v>
      </c>
      <c r="H1032" s="14">
        <f>IF(OR(F1032="",G1032="",AND(I1032&lt;&gt;"W",I1032&lt;&gt;"L")),"",IF(I1032="W",IF(G1032&gt;0,G1032/100,1),IF(G1032&lt;0,G1032/100,-1)))</f>
        <v/>
      </c>
      <c r="I1032" s="11" t="inlineStr">
        <is>
          <t>L</t>
        </is>
      </c>
      <c r="J1032" s="10" t="inlineStr">
        <is>
          <t>NSH 4, WPG 3</t>
        </is>
      </c>
      <c r="K1032" s="10" t="inlineStr">
        <is>
          <t>DraftKings closing</t>
        </is>
      </c>
    </row>
    <row r="1033">
      <c r="A1033" s="9" t="n">
        <v>46098</v>
      </c>
      <c r="B1033" s="10" t="inlineStr">
        <is>
          <t>SJS @ EDM</t>
        </is>
      </c>
      <c r="C1033" s="13" t="n">
        <v>57.43</v>
      </c>
      <c r="D1033" s="13" t="n">
        <v>76.65000000000001</v>
      </c>
      <c r="E1033" s="13">
        <f>IF(OR(C1033="",D1033=""),"",ABS(C1033-D1033))</f>
        <v/>
      </c>
      <c r="F1033" s="11" t="inlineStr">
        <is>
          <t>EDM</t>
        </is>
      </c>
      <c r="G1033" s="12" t="n">
        <v>-162</v>
      </c>
      <c r="H1033" s="14">
        <f>IF(OR(F1033="",G1033="",AND(I1033&lt;&gt;"W",I1033&lt;&gt;"L")),"",IF(I1033="W",IF(G1033&gt;0,G1033/100,1),IF(G1033&lt;0,G1033/100,-1)))</f>
        <v/>
      </c>
      <c r="I1033" s="11" t="inlineStr">
        <is>
          <t>W</t>
        </is>
      </c>
      <c r="J1033" s="10" t="inlineStr">
        <is>
          <t>SJS 3, EDM 5</t>
        </is>
      </c>
      <c r="K1033" s="10" t="inlineStr">
        <is>
          <t>DraftKings closing</t>
        </is>
      </c>
    </row>
    <row r="1034">
      <c r="A1034" s="9" t="n">
        <v>46098</v>
      </c>
      <c r="B1034" s="10" t="inlineStr">
        <is>
          <t>FLA @ VAN</t>
        </is>
      </c>
      <c r="C1034" s="13" t="n">
        <v>64.31</v>
      </c>
      <c r="D1034" s="13" t="n">
        <v>60.09</v>
      </c>
      <c r="E1034" s="13">
        <f>IF(OR(C1034="",D1034=""),"",ABS(C1034-D1034))</f>
        <v/>
      </c>
      <c r="F1034" s="11" t="inlineStr">
        <is>
          <t>FLA</t>
        </is>
      </c>
      <c r="G1034" s="12" t="n">
        <v>-155</v>
      </c>
      <c r="H1034" s="14">
        <f>IF(OR(F1034="",G1034="",AND(I1034&lt;&gt;"W",I1034&lt;&gt;"L")),"",IF(I1034="W",IF(G1034&gt;0,G1034/100,1),IF(G1034&lt;0,G1034/100,-1)))</f>
        <v/>
      </c>
      <c r="I1034" s="11" t="inlineStr">
        <is>
          <t>L</t>
        </is>
      </c>
      <c r="J1034" s="10" t="inlineStr">
        <is>
          <t>FLA 2, VAN 5</t>
        </is>
      </c>
      <c r="K1034" s="10" t="inlineStr">
        <is>
          <t>DraftKings closing</t>
        </is>
      </c>
    </row>
    <row r="1035">
      <c r="A1035" s="9" t="n">
        <v>46098</v>
      </c>
      <c r="B1035" s="10" t="inlineStr">
        <is>
          <t>BUF @ VGK</t>
        </is>
      </c>
      <c r="C1035" s="13" t="n">
        <v>81.34</v>
      </c>
      <c r="D1035" s="13" t="n">
        <v>89.06</v>
      </c>
      <c r="E1035" s="13">
        <f>IF(OR(C1035="",D1035=""),"",ABS(C1035-D1035))</f>
        <v/>
      </c>
      <c r="F1035" s="11" t="inlineStr">
        <is>
          <t>VGK</t>
        </is>
      </c>
      <c r="G1035" s="12" t="n">
        <v>-135</v>
      </c>
      <c r="H1035" s="14">
        <f>IF(OR(F1035="",G1035="",AND(I1035&lt;&gt;"W",I1035&lt;&gt;"L")),"",IF(I1035="W",IF(G1035&gt;0,G1035/100,1),IF(G1035&lt;0,G1035/100,-1)))</f>
        <v/>
      </c>
      <c r="I1035" s="11" t="inlineStr">
        <is>
          <t>L</t>
        </is>
      </c>
      <c r="J1035" s="10" t="inlineStr">
        <is>
          <t>BUF 2, VGK 0</t>
        </is>
      </c>
      <c r="K1035" s="10" t="inlineStr">
        <is>
          <t>DraftKings closing</t>
        </is>
      </c>
    </row>
    <row r="1036">
      <c r="A1036" s="9" t="n">
        <v>46098</v>
      </c>
      <c r="B1036" s="10" t="inlineStr">
        <is>
          <t>TBL @ SEA</t>
        </is>
      </c>
      <c r="C1036" s="13" t="n">
        <v>55.86</v>
      </c>
      <c r="D1036" s="13" t="n">
        <v>75.69</v>
      </c>
      <c r="E1036" s="13">
        <f>IF(OR(C1036="",D1036=""),"",ABS(C1036-D1036))</f>
        <v/>
      </c>
      <c r="F1036" s="11" t="inlineStr">
        <is>
          <t>SEA</t>
        </is>
      </c>
      <c r="G1036" s="12" t="n">
        <v>154</v>
      </c>
      <c r="H1036" s="14">
        <f>IF(OR(F1036="",G1036="",AND(I1036&lt;&gt;"W",I1036&lt;&gt;"L")),"",IF(I1036="W",IF(G1036&gt;0,G1036/100,1),IF(G1036&lt;0,G1036/100,-1)))</f>
        <v/>
      </c>
      <c r="I1036" s="11" t="inlineStr">
        <is>
          <t>L</t>
        </is>
      </c>
      <c r="J1036" s="10" t="inlineStr">
        <is>
          <t>TBL 6, SEA 2</t>
        </is>
      </c>
      <c r="K1036" s="10" t="inlineStr">
        <is>
          <t>DraftKings closing</t>
        </is>
      </c>
    </row>
    <row r="1037">
      <c r="A1037" s="9" t="n">
        <v>46099</v>
      </c>
      <c r="B1037" s="10" t="inlineStr">
        <is>
          <t>NJD @ NYR</t>
        </is>
      </c>
      <c r="C1037" s="13" t="n">
        <v>80.53</v>
      </c>
      <c r="D1037" s="13" t="n">
        <v>62</v>
      </c>
      <c r="E1037" s="13">
        <f>IF(OR(C1037="",D1037=""),"",ABS(C1037-D1037))</f>
        <v/>
      </c>
      <c r="F1037" s="11" t="inlineStr">
        <is>
          <t>NJD</t>
        </is>
      </c>
      <c r="G1037" s="12" t="n">
        <v>-125</v>
      </c>
      <c r="H1037" s="14">
        <f>IF(OR(F1037="",G1037="",AND(I1037&lt;&gt;"W",I1037&lt;&gt;"L")),"",IF(I1037="W",IF(G1037&gt;0,G1037/100,1),IF(G1037&lt;0,G1037/100,-1)))</f>
        <v/>
      </c>
      <c r="I1037" s="11" t="inlineStr">
        <is>
          <t>W</t>
        </is>
      </c>
      <c r="J1037" s="10" t="inlineStr">
        <is>
          <t>NJD 6, NYR 3</t>
        </is>
      </c>
      <c r="K1037" s="10" t="inlineStr">
        <is>
          <t>DraftKings closing</t>
        </is>
      </c>
    </row>
    <row r="1038">
      <c r="A1038" s="9" t="n">
        <v>46099</v>
      </c>
      <c r="B1038" s="10" t="inlineStr">
        <is>
          <t>PIT @ CAR</t>
        </is>
      </c>
      <c r="C1038" s="13" t="n">
        <v>79.23999999999999</v>
      </c>
      <c r="D1038" s="13" t="n">
        <v>56.59</v>
      </c>
      <c r="E1038" s="13">
        <f>IF(OR(C1038="",D1038=""),"",ABS(C1038-D1038))</f>
        <v/>
      </c>
      <c r="F1038" s="11" t="inlineStr">
        <is>
          <t>PIT</t>
        </is>
      </c>
      <c r="G1038" s="12" t="n">
        <v>114</v>
      </c>
      <c r="H1038" s="14">
        <f>IF(OR(F1038="",G1038="",AND(I1038&lt;&gt;"W",I1038&lt;&gt;"L")),"",IF(I1038="W",IF(G1038&gt;0,G1038/100,1),IF(G1038&lt;0,G1038/100,-1)))</f>
        <v/>
      </c>
      <c r="I1038" s="11" t="inlineStr">
        <is>
          <t>L</t>
        </is>
      </c>
      <c r="J1038" s="10" t="inlineStr">
        <is>
          <t>PIT 5, CAR 6</t>
        </is>
      </c>
      <c r="K1038" s="10" t="inlineStr">
        <is>
          <t>DraftKings closing</t>
        </is>
      </c>
    </row>
    <row r="1039">
      <c r="A1039" s="9" t="n">
        <v>46099</v>
      </c>
      <c r="B1039" s="10" t="inlineStr">
        <is>
          <t>OTT @ WSH</t>
        </is>
      </c>
      <c r="C1039" s="13" t="n">
        <v>82.56999999999999</v>
      </c>
      <c r="D1039" s="13" t="n">
        <v>68.25</v>
      </c>
      <c r="E1039" s="13">
        <f>IF(OR(C1039="",D1039=""),"",ABS(C1039-D1039))</f>
        <v/>
      </c>
      <c r="F1039" s="11" t="inlineStr">
        <is>
          <t>OTT</t>
        </is>
      </c>
      <c r="G1039" s="12" t="n">
        <v>-135</v>
      </c>
      <c r="H1039" s="14">
        <f>IF(OR(F1039="",G1039="",AND(I1039&lt;&gt;"W",I1039&lt;&gt;"L")),"",IF(I1039="W",IF(G1039&gt;0,G1039/100,1),IF(G1039&lt;0,G1039/100,-1)))</f>
        <v/>
      </c>
      <c r="I1039" s="11" t="inlineStr">
        <is>
          <t>L</t>
        </is>
      </c>
      <c r="J1039" s="10" t="inlineStr">
        <is>
          <t>OTT 1, WSH 4</t>
        </is>
      </c>
      <c r="K1039" s="10" t="inlineStr">
        <is>
          <t>DraftKings closing</t>
        </is>
      </c>
    </row>
    <row r="1040">
      <c r="A1040" s="9" t="n">
        <v>46099</v>
      </c>
      <c r="B1040" s="10" t="inlineStr">
        <is>
          <t>DAL @ COL</t>
        </is>
      </c>
      <c r="C1040" s="13" t="n">
        <v>65.29000000000001</v>
      </c>
      <c r="D1040" s="13" t="n">
        <v>60.76</v>
      </c>
      <c r="E1040" s="13">
        <f>IF(OR(C1040="",D1040=""),"",ABS(C1040-D1040))</f>
        <v/>
      </c>
      <c r="F1040" s="11" t="inlineStr">
        <is>
          <t>DAL</t>
        </is>
      </c>
      <c r="G1040" s="12" t="n">
        <v>120</v>
      </c>
      <c r="H1040" s="14">
        <f>IF(OR(F1040="",G1040="",AND(I1040&lt;&gt;"W",I1040&lt;&gt;"L")),"",IF(I1040="W",IF(G1040&gt;0,G1040/100,1),IF(G1040&lt;0,G1040/100,-1)))</f>
        <v/>
      </c>
      <c r="I1040" s="11" t="inlineStr">
        <is>
          <t>W</t>
        </is>
      </c>
      <c r="J1040" s="10" t="inlineStr">
        <is>
          <t>DAL 2, COL 1</t>
        </is>
      </c>
      <c r="K1040" s="10" t="inlineStr">
        <is>
          <t>DraftKings closing</t>
        </is>
      </c>
    </row>
    <row r="1041">
      <c r="A1041" s="9" t="n">
        <v>46099</v>
      </c>
      <c r="B1041" s="10" t="inlineStr">
        <is>
          <t>STL @ CGY</t>
        </is>
      </c>
      <c r="C1041" s="13" t="n">
        <v>76.38</v>
      </c>
      <c r="D1041" s="13" t="n">
        <v>66.34999999999999</v>
      </c>
      <c r="E1041" s="13">
        <f>IF(OR(C1041="",D1041=""),"",ABS(C1041-D1041))</f>
        <v/>
      </c>
      <c r="F1041" s="11" t="inlineStr">
        <is>
          <t>STL</t>
        </is>
      </c>
      <c r="G1041" s="12" t="n">
        <v>-142</v>
      </c>
      <c r="H1041" s="14">
        <f>IF(OR(F1041="",G1041="",AND(I1041&lt;&gt;"W",I1041&lt;&gt;"L")),"",IF(I1041="W",IF(G1041&gt;0,G1041/100,1),IF(G1041&lt;0,G1041/100,-1)))</f>
        <v/>
      </c>
      <c r="I1041" s="11" t="inlineStr">
        <is>
          <t>L</t>
        </is>
      </c>
      <c r="J1041" s="10" t="inlineStr">
        <is>
          <t>STL 1, CGY 2</t>
        </is>
      </c>
      <c r="K1041" s="10" t="inlineStr">
        <is>
          <t>DraftKings closing</t>
        </is>
      </c>
    </row>
    <row r="1042">
      <c r="A1042" s="9" t="n">
        <v>46099</v>
      </c>
      <c r="B1042" s="10" t="inlineStr">
        <is>
          <t>PHI @ ANA</t>
        </is>
      </c>
      <c r="C1042" s="13" t="n">
        <v>62.03</v>
      </c>
      <c r="D1042" s="13" t="n">
        <v>76</v>
      </c>
      <c r="E1042" s="13">
        <f>IF(OR(C1042="",D1042=""),"",ABS(C1042-D1042))</f>
        <v/>
      </c>
      <c r="F1042" s="11" t="inlineStr">
        <is>
          <t>ANA</t>
        </is>
      </c>
      <c r="G1042" s="12" t="n">
        <v>-155</v>
      </c>
      <c r="H1042" s="14">
        <f>IF(OR(F1042="",G1042="",AND(I1042&lt;&gt;"W",I1042&lt;&gt;"L")),"",IF(I1042="W",IF(G1042&gt;0,G1042/100,1),IF(G1042&lt;0,G1042/100,-1)))</f>
        <v/>
      </c>
      <c r="I1042" s="11" t="inlineStr">
        <is>
          <t>L</t>
        </is>
      </c>
      <c r="J1042" s="10" t="inlineStr">
        <is>
          <t>PHI 3, ANA 2</t>
        </is>
      </c>
      <c r="K1042" s="10" t="inlineStr">
        <is>
          <t>DraftKings closing</t>
        </is>
      </c>
    </row>
    <row r="1043">
      <c r="A1043" s="9" t="n">
        <v>46100</v>
      </c>
      <c r="B1043" s="10" t="inlineStr">
        <is>
          <t>WPG @ BOS</t>
        </is>
      </c>
      <c r="C1043" s="13" t="n">
        <v>76.75</v>
      </c>
      <c r="D1043" s="13" t="n">
        <v>58.73</v>
      </c>
      <c r="E1043" s="13">
        <f>IF(OR(C1043="",D1043=""),"",ABS(C1043-D1043))</f>
        <v/>
      </c>
      <c r="F1043" s="11" t="inlineStr">
        <is>
          <t>WPG</t>
        </is>
      </c>
      <c r="G1043" s="12" t="n">
        <v>120</v>
      </c>
      <c r="H1043" s="14">
        <f>IF(OR(F1043="",G1043="",AND(I1043&lt;&gt;"W",I1043&lt;&gt;"L")),"",IF(I1043="W",IF(G1043&gt;0,G1043/100,1),IF(G1043&lt;0,G1043/100,-1)))</f>
        <v/>
      </c>
      <c r="I1043" s="11" t="inlineStr">
        <is>
          <t>L</t>
        </is>
      </c>
      <c r="J1043" s="10" t="inlineStr">
        <is>
          <t>WPG 1, BOS 6</t>
        </is>
      </c>
      <c r="K1043" s="10" t="inlineStr">
        <is>
          <t>DraftKings closing</t>
        </is>
      </c>
    </row>
    <row r="1044">
      <c r="A1044" s="9" t="n">
        <v>46100</v>
      </c>
      <c r="B1044" s="10" t="inlineStr">
        <is>
          <t>NYI @ OTT</t>
        </is>
      </c>
      <c r="C1044" s="13" t="n">
        <v>82.17</v>
      </c>
      <c r="D1044" s="13" t="n">
        <v>71.53</v>
      </c>
      <c r="E1044" s="13">
        <f>IF(OR(C1044="",D1044=""),"",ABS(C1044-D1044))</f>
        <v/>
      </c>
      <c r="F1044" s="11" t="inlineStr">
        <is>
          <t>NYI</t>
        </is>
      </c>
      <c r="G1044" s="12" t="n">
        <v>105</v>
      </c>
      <c r="H1044" s="14">
        <f>IF(OR(F1044="",G1044="",AND(I1044&lt;&gt;"W",I1044&lt;&gt;"L")),"",IF(I1044="W",IF(G1044&gt;0,G1044/100,1),IF(G1044&lt;0,G1044/100,-1)))</f>
        <v/>
      </c>
      <c r="I1044" s="11" t="inlineStr">
        <is>
          <t>L</t>
        </is>
      </c>
      <c r="J1044" s="10" t="inlineStr">
        <is>
          <t>NYI 2, OTT 3</t>
        </is>
      </c>
      <c r="K1044" s="10" t="inlineStr">
        <is>
          <t>DraftKings closing</t>
        </is>
      </c>
    </row>
    <row r="1045">
      <c r="A1045" s="9" t="n">
        <v>46100</v>
      </c>
      <c r="B1045" s="10" t="inlineStr">
        <is>
          <t>MTL @ DET</t>
        </is>
      </c>
      <c r="C1045" s="13" t="n">
        <v>81.27</v>
      </c>
      <c r="D1045" s="13" t="n">
        <v>73.65000000000001</v>
      </c>
      <c r="E1045" s="13">
        <f>IF(OR(C1045="",D1045=""),"",ABS(C1045-D1045))</f>
        <v/>
      </c>
      <c r="F1045" s="11" t="inlineStr">
        <is>
          <t>MTL</t>
        </is>
      </c>
      <c r="G1045" s="12" t="n">
        <v>-115</v>
      </c>
      <c r="H1045" s="14">
        <f>IF(OR(F1045="",G1045="",AND(I1045&lt;&gt;"W",I1045&lt;&gt;"L")),"",IF(I1045="W",IF(G1045&gt;0,G1045/100,1),IF(G1045&lt;0,G1045/100,-1)))</f>
        <v/>
      </c>
      <c r="I1045" s="11" t="inlineStr">
        <is>
          <t>L</t>
        </is>
      </c>
      <c r="J1045" s="10" t="inlineStr">
        <is>
          <t>MTL 1, DET 3</t>
        </is>
      </c>
      <c r="K1045" s="10" t="inlineStr">
        <is>
          <t>DraftKings closing</t>
        </is>
      </c>
    </row>
    <row r="1046">
      <c r="A1046" s="9" t="n">
        <v>46100</v>
      </c>
      <c r="B1046" s="10" t="inlineStr">
        <is>
          <t>NYR @ CBJ</t>
        </is>
      </c>
      <c r="C1046" s="13" t="n">
        <v>50.2</v>
      </c>
      <c r="D1046" s="13" t="n">
        <v>83.41</v>
      </c>
      <c r="E1046" s="13">
        <f>IF(OR(C1046="",D1046=""),"",ABS(C1046-D1046))</f>
        <v/>
      </c>
      <c r="F1046" s="11" t="inlineStr">
        <is>
          <t>CBJ</t>
        </is>
      </c>
      <c r="G1046" s="12" t="n">
        <v>-218</v>
      </c>
      <c r="H1046" s="14">
        <f>IF(OR(F1046="",G1046="",AND(I1046&lt;&gt;"W",I1046&lt;&gt;"L")),"",IF(I1046="W",IF(G1046&gt;0,G1046/100,1),IF(G1046&lt;0,G1046/100,-1)))</f>
        <v/>
      </c>
      <c r="I1046" s="11" t="inlineStr">
        <is>
          <t>W</t>
        </is>
      </c>
      <c r="J1046" s="10" t="inlineStr">
        <is>
          <t>NYR 3, CBJ 6</t>
        </is>
      </c>
      <c r="K1046" s="10" t="inlineStr">
        <is>
          <t>DraftKings closing</t>
        </is>
      </c>
    </row>
    <row r="1047">
      <c r="A1047" s="9" t="n">
        <v>46100</v>
      </c>
      <c r="B1047" s="10" t="inlineStr">
        <is>
          <t>CHI @ MIN</t>
        </is>
      </c>
      <c r="C1047" s="13" t="n">
        <v>62.52</v>
      </c>
      <c r="D1047" s="13" t="n">
        <v>77.48</v>
      </c>
      <c r="E1047" s="13">
        <f>IF(OR(C1047="",D1047=""),"",ABS(C1047-D1047))</f>
        <v/>
      </c>
      <c r="F1047" s="11" t="inlineStr">
        <is>
          <t>MIN</t>
        </is>
      </c>
      <c r="G1047" s="12" t="n">
        <v>-198</v>
      </c>
      <c r="H1047" s="14">
        <f>IF(OR(F1047="",G1047="",AND(I1047&lt;&gt;"W",I1047&lt;&gt;"L")),"",IF(I1047="W",IF(G1047&gt;0,G1047/100,1),IF(G1047&lt;0,G1047/100,-1)))</f>
        <v/>
      </c>
      <c r="I1047" s="11" t="inlineStr">
        <is>
          <t>L</t>
        </is>
      </c>
      <c r="J1047" s="10" t="inlineStr">
        <is>
          <t>CHI 2, MIN 1</t>
        </is>
      </c>
      <c r="K1047" s="10" t="inlineStr">
        <is>
          <t>DraftKings closing</t>
        </is>
      </c>
    </row>
    <row r="1048">
      <c r="A1048" s="9" t="n">
        <v>46100</v>
      </c>
      <c r="B1048" s="10" t="inlineStr">
        <is>
          <t>SEA @ NSH</t>
        </is>
      </c>
      <c r="C1048" s="13" t="n">
        <v>50.95</v>
      </c>
      <c r="D1048" s="13" t="n">
        <v>63.25</v>
      </c>
      <c r="E1048" s="13">
        <f>IF(OR(C1048="",D1048=""),"",ABS(C1048-D1048))</f>
        <v/>
      </c>
      <c r="F1048" s="11" t="inlineStr">
        <is>
          <t>NSH</t>
        </is>
      </c>
      <c r="G1048" s="12" t="n">
        <v>-120</v>
      </c>
      <c r="H1048" s="14">
        <f>IF(OR(F1048="",G1048="",AND(I1048&lt;&gt;"W",I1048&lt;&gt;"L")),"",IF(I1048="W",IF(G1048&gt;0,G1048/100,1),IF(G1048&lt;0,G1048/100,-1)))</f>
        <v/>
      </c>
      <c r="I1048" s="11" t="inlineStr">
        <is>
          <t>W</t>
        </is>
      </c>
      <c r="J1048" s="10" t="inlineStr">
        <is>
          <t>SEA 1, NSH 3</t>
        </is>
      </c>
      <c r="K1048" s="10" t="inlineStr">
        <is>
          <t>DraftKings closing</t>
        </is>
      </c>
    </row>
    <row r="1049">
      <c r="A1049" s="9" t="n">
        <v>46100</v>
      </c>
      <c r="B1049" s="10" t="inlineStr">
        <is>
          <t>FLA @ EDM</t>
        </is>
      </c>
      <c r="C1049" s="13" t="n">
        <v>69.51000000000001</v>
      </c>
      <c r="D1049" s="13" t="n">
        <v>74.77</v>
      </c>
      <c r="E1049" s="13">
        <f>IF(OR(C1049="",D1049=""),"",ABS(C1049-D1049))</f>
        <v/>
      </c>
      <c r="F1049" s="11" t="inlineStr">
        <is>
          <t>EDM</t>
        </is>
      </c>
      <c r="G1049" s="12" t="n">
        <v>-162</v>
      </c>
      <c r="H1049" s="14">
        <f>IF(OR(F1049="",G1049="",AND(I1049&lt;&gt;"W",I1049&lt;&gt;"L")),"",IF(I1049="W",IF(G1049&gt;0,G1049/100,1),IF(G1049&lt;0,G1049/100,-1)))</f>
        <v/>
      </c>
      <c r="I1049" s="11" t="inlineStr">
        <is>
          <t>L</t>
        </is>
      </c>
      <c r="J1049" s="10" t="inlineStr">
        <is>
          <t>FLA 4, EDM 0</t>
        </is>
      </c>
      <c r="K1049" s="10" t="inlineStr">
        <is>
          <t>DraftKings closing</t>
        </is>
      </c>
    </row>
    <row r="1050">
      <c r="A1050" s="9" t="n">
        <v>46100</v>
      </c>
      <c r="B1050" s="10" t="inlineStr">
        <is>
          <t>TBL @ VAN</t>
        </is>
      </c>
      <c r="C1050" s="13" t="n">
        <v>89.05</v>
      </c>
      <c r="D1050" s="13" t="n">
        <v>70.48999999999999</v>
      </c>
      <c r="E1050" s="13">
        <f>IF(OR(C1050="",D1050=""),"",ABS(C1050-D1050))</f>
        <v/>
      </c>
      <c r="F1050" s="11" t="inlineStr">
        <is>
          <t>TBL</t>
        </is>
      </c>
      <c r="G1050" s="12" t="n">
        <v>-340</v>
      </c>
      <c r="H1050" s="14">
        <f>IF(OR(F1050="",G1050="",AND(I1050&lt;&gt;"W",I1050&lt;&gt;"L")),"",IF(I1050="W",IF(G1050&gt;0,G1050/100,1),IF(G1050&lt;0,G1050/100,-1)))</f>
        <v/>
      </c>
      <c r="I1050" s="11" t="inlineStr">
        <is>
          <t>W</t>
        </is>
      </c>
      <c r="J1050" s="10" t="inlineStr">
        <is>
          <t>TBL 6, VAN 2</t>
        </is>
      </c>
      <c r="K1050" s="10" t="inlineStr">
        <is>
          <t>DraftKings closing</t>
        </is>
      </c>
    </row>
    <row r="1051">
      <c r="A1051" s="9" t="n">
        <v>46100</v>
      </c>
      <c r="B1051" s="10" t="inlineStr">
        <is>
          <t>UTA @ VGK</t>
        </is>
      </c>
      <c r="C1051" s="13" t="n">
        <v>74.70999999999999</v>
      </c>
      <c r="D1051" s="13" t="n">
        <v>71.98999999999999</v>
      </c>
      <c r="E1051" s="13">
        <f>IF(OR(C1051="",D1051=""),"",ABS(C1051-D1051))</f>
        <v/>
      </c>
      <c r="F1051" s="11" t="inlineStr">
        <is>
          <t>UTA</t>
        </is>
      </c>
      <c r="G1051" s="12" t="n">
        <v>114</v>
      </c>
      <c r="H1051" s="14">
        <f>IF(OR(F1051="",G1051="",AND(I1051&lt;&gt;"W",I1051&lt;&gt;"L")),"",IF(I1051="W",IF(G1051&gt;0,G1051/100,1),IF(G1051&lt;0,G1051/100,-1)))</f>
        <v/>
      </c>
      <c r="I1051" s="11" t="inlineStr">
        <is>
          <t>W</t>
        </is>
      </c>
      <c r="J1051" s="10" t="inlineStr">
        <is>
          <t>UTA 4, VGK 0</t>
        </is>
      </c>
      <c r="K1051" s="10" t="inlineStr">
        <is>
          <t>DraftKings closing</t>
        </is>
      </c>
    </row>
    <row r="1052">
      <c r="A1052" s="9" t="n">
        <v>46100</v>
      </c>
      <c r="B1052" s="10" t="inlineStr">
        <is>
          <t>BUF @ SJS</t>
        </is>
      </c>
      <c r="C1052" s="13" t="n">
        <v>68.01000000000001</v>
      </c>
      <c r="D1052" s="13" t="n">
        <v>65.23</v>
      </c>
      <c r="E1052" s="13">
        <f>IF(OR(C1052="",D1052=""),"",ABS(C1052-D1052))</f>
        <v/>
      </c>
      <c r="F1052" s="11" t="inlineStr">
        <is>
          <t>BUF</t>
        </is>
      </c>
      <c r="G1052" s="12" t="n">
        <v>-142</v>
      </c>
      <c r="H1052" s="14">
        <f>IF(OR(F1052="",G1052="",AND(I1052&lt;&gt;"W",I1052&lt;&gt;"L")),"",IF(I1052="W",IF(G1052&gt;0,G1052/100,1),IF(G1052&lt;0,G1052/100,-1)))</f>
        <v/>
      </c>
      <c r="I1052" s="11" t="inlineStr">
        <is>
          <t>W</t>
        </is>
      </c>
      <c r="J1052" s="10" t="inlineStr">
        <is>
          <t>BUF 5, SJS 0</t>
        </is>
      </c>
      <c r="K1052" s="10" t="inlineStr">
        <is>
          <t>DraftKings closing</t>
        </is>
      </c>
    </row>
    <row r="1053">
      <c r="A1053" s="9" t="n">
        <v>46100</v>
      </c>
      <c r="B1053" s="10" t="inlineStr">
        <is>
          <t>PHI @ LAK</t>
        </is>
      </c>
      <c r="C1053" s="13" t="n">
        <v>74.44</v>
      </c>
      <c r="D1053" s="13" t="n">
        <v>78</v>
      </c>
      <c r="E1053" s="13">
        <f>IF(OR(C1053="",D1053=""),"",ABS(C1053-D1053))</f>
        <v/>
      </c>
      <c r="F1053" s="11" t="inlineStr">
        <is>
          <t>LAK</t>
        </is>
      </c>
      <c r="G1053" s="12" t="n">
        <v>-192</v>
      </c>
      <c r="H1053" s="14">
        <f>IF(OR(F1053="",G1053="",AND(I1053&lt;&gt;"W",I1053&lt;&gt;"L")),"",IF(I1053="W",IF(G1053&gt;0,G1053/100,1),IF(G1053&lt;0,G1053/100,-1)))</f>
        <v/>
      </c>
      <c r="I1053" s="11" t="inlineStr">
        <is>
          <t>L</t>
        </is>
      </c>
      <c r="J1053" s="10" t="inlineStr">
        <is>
          <t>PHI 4, LAK 3</t>
        </is>
      </c>
      <c r="K1053" s="10" t="inlineStr">
        <is>
          <t>DraftKings closing</t>
        </is>
      </c>
    </row>
    <row r="1054">
      <c r="A1054" s="9" t="n">
        <v>46101</v>
      </c>
      <c r="B1054" s="10" t="inlineStr">
        <is>
          <t>CAR @ TOR</t>
        </is>
      </c>
      <c r="C1054" s="13" t="n">
        <v>85.15000000000001</v>
      </c>
      <c r="D1054" s="13" t="n">
        <v>57.83</v>
      </c>
      <c r="E1054" s="13">
        <f>IF(OR(C1054="",D1054=""),"",ABS(C1054-D1054))</f>
        <v/>
      </c>
      <c r="F1054" s="11" t="inlineStr">
        <is>
          <t>CAR</t>
        </is>
      </c>
      <c r="G1054" s="12" t="n">
        <v>-218</v>
      </c>
      <c r="H1054" s="14">
        <f>IF(OR(F1054="",G1054="",AND(I1054&lt;&gt;"W",I1054&lt;&gt;"L")),"",IF(I1054="W",IF(G1054&gt;0,G1054/100,1),IF(G1054&lt;0,G1054/100,-1)))</f>
        <v/>
      </c>
      <c r="I1054" s="11" t="inlineStr">
        <is>
          <t>W</t>
        </is>
      </c>
      <c r="J1054" s="10" t="inlineStr">
        <is>
          <t>CAR 4, TOR 3</t>
        </is>
      </c>
      <c r="K1054" s="10" t="inlineStr">
        <is>
          <t>DraftKings closing</t>
        </is>
      </c>
    </row>
    <row r="1055">
      <c r="A1055" s="9" t="n">
        <v>46101</v>
      </c>
      <c r="B1055" s="10" t="inlineStr">
        <is>
          <t>NJD @ WSH</t>
        </is>
      </c>
      <c r="C1055" s="13" t="n">
        <v>89.8</v>
      </c>
      <c r="D1055" s="13" t="n">
        <v>68.47</v>
      </c>
      <c r="E1055" s="13">
        <f>IF(OR(C1055="",D1055=""),"",ABS(C1055-D1055))</f>
        <v/>
      </c>
      <c r="F1055" s="11" t="inlineStr">
        <is>
          <t>NJD</t>
        </is>
      </c>
      <c r="G1055" s="12" t="n">
        <v>105</v>
      </c>
      <c r="H1055" s="14">
        <f>IF(OR(F1055="",G1055="",AND(I1055&lt;&gt;"W",I1055&lt;&gt;"L")),"",IF(I1055="W",IF(G1055&gt;0,G1055/100,1),IF(G1055&lt;0,G1055/100,-1)))</f>
        <v/>
      </c>
      <c r="I1055" s="11" t="inlineStr">
        <is>
          <t>L</t>
        </is>
      </c>
      <c r="J1055" s="10" t="inlineStr">
        <is>
          <t>NJD 1, WSH 2</t>
        </is>
      </c>
      <c r="K1055" s="10" t="inlineStr">
        <is>
          <t>DraftKings closing</t>
        </is>
      </c>
    </row>
    <row r="1056">
      <c r="A1056" s="9" t="n">
        <v>46101</v>
      </c>
      <c r="B1056" s="10" t="inlineStr">
        <is>
          <t>COL @ CHI</t>
        </is>
      </c>
      <c r="C1056" s="13" t="n">
        <v>80.45999999999999</v>
      </c>
      <c r="D1056" s="13" t="n">
        <v>75.03</v>
      </c>
      <c r="E1056" s="13">
        <f>IF(OR(C1056="",D1056=""),"",ABS(C1056-D1056))</f>
        <v/>
      </c>
      <c r="F1056" s="11" t="inlineStr">
        <is>
          <t>COL</t>
        </is>
      </c>
      <c r="G1056" s="12" t="n">
        <v>-340</v>
      </c>
      <c r="H1056" s="14">
        <f>IF(OR(F1056="",G1056="",AND(I1056&lt;&gt;"W",I1056&lt;&gt;"L")),"",IF(I1056="W",IF(G1056&gt;0,G1056/100,1),IF(G1056&lt;0,G1056/100,-1)))</f>
        <v/>
      </c>
      <c r="I1056" s="11" t="inlineStr">
        <is>
          <t>W</t>
        </is>
      </c>
      <c r="J1056" s="10" t="inlineStr">
        <is>
          <t>COL 4, CHI 1</t>
        </is>
      </c>
      <c r="K1056" s="10" t="inlineStr">
        <is>
          <t>DraftKings closing</t>
        </is>
      </c>
    </row>
    <row r="1057">
      <c r="A1057" s="9" t="n">
        <v>46101</v>
      </c>
      <c r="B1057" s="10" t="inlineStr">
        <is>
          <t>FLA @ CGY</t>
        </is>
      </c>
      <c r="C1057" s="13" t="n">
        <v>86.43000000000001</v>
      </c>
      <c r="D1057" s="13" t="n">
        <v>67.48</v>
      </c>
      <c r="E1057" s="13">
        <f>IF(OR(C1057="",D1057=""),"",ABS(C1057-D1057))</f>
        <v/>
      </c>
      <c r="F1057" s="11" t="inlineStr">
        <is>
          <t>FLA</t>
        </is>
      </c>
      <c r="G1057" s="12" t="n">
        <v>-102</v>
      </c>
      <c r="H1057" s="14">
        <f>IF(OR(F1057="",G1057="",AND(I1057&lt;&gt;"W",I1057&lt;&gt;"L")),"",IF(I1057="W",IF(G1057&gt;0,G1057/100,1),IF(G1057&lt;0,G1057/100,-1)))</f>
        <v/>
      </c>
      <c r="I1057" s="11" t="inlineStr">
        <is>
          <t>L</t>
        </is>
      </c>
      <c r="J1057" s="10" t="inlineStr">
        <is>
          <t>FLA 1, CGY 4</t>
        </is>
      </c>
      <c r="K1057" s="10" t="inlineStr">
        <is>
          <t>DraftKings closing</t>
        </is>
      </c>
    </row>
    <row r="1058">
      <c r="A1058" s="9" t="n">
        <v>46101</v>
      </c>
      <c r="B1058" s="10" t="inlineStr">
        <is>
          <t>ANA @ UTA</t>
        </is>
      </c>
      <c r="C1058" s="13" t="n">
        <v>65.56</v>
      </c>
      <c r="D1058" s="13" t="n">
        <v>72.48999999999999</v>
      </c>
      <c r="E1058" s="13">
        <f>IF(OR(C1058="",D1058=""),"",ABS(C1058-D1058))</f>
        <v/>
      </c>
      <c r="F1058" s="11" t="inlineStr">
        <is>
          <t>UTA</t>
        </is>
      </c>
      <c r="G1058" s="12" t="n">
        <v>-142</v>
      </c>
      <c r="H1058" s="14">
        <f>IF(OR(F1058="",G1058="",AND(I1058&lt;&gt;"W",I1058&lt;&gt;"L")),"",IF(I1058="W",IF(G1058&gt;0,G1058/100,1),IF(G1058&lt;0,G1058/100,-1)))</f>
        <v/>
      </c>
      <c r="I1058" s="11" t="inlineStr">
        <is>
          <t>L</t>
        </is>
      </c>
      <c r="J1058" s="10" t="inlineStr">
        <is>
          <t>ANA 4, UTA 1</t>
        </is>
      </c>
      <c r="K1058" s="10" t="inlineStr">
        <is>
          <t>DraftKings closing</t>
        </is>
      </c>
    </row>
    <row r="1059">
      <c r="A1059" s="9" t="n">
        <v>46102</v>
      </c>
      <c r="B1059" s="10" t="inlineStr">
        <is>
          <t>WPG @ PIT</t>
        </is>
      </c>
      <c r="C1059" s="13" t="n">
        <v>54.56</v>
      </c>
      <c r="D1059" s="13" t="n">
        <v>54.85</v>
      </c>
      <c r="E1059" s="13">
        <f>IF(OR(C1059="",D1059=""),"",ABS(C1059-D1059))</f>
        <v/>
      </c>
      <c r="F1059" s="11" t="inlineStr">
        <is>
          <t>PIT</t>
        </is>
      </c>
      <c r="G1059" s="12" t="n">
        <v>-162</v>
      </c>
      <c r="H1059" s="14">
        <f>IF(OR(F1059="",G1059="",AND(I1059&lt;&gt;"W",I1059&lt;&gt;"L")),"",IF(I1059="W",IF(G1059&gt;0,G1059/100,1),IF(G1059&lt;0,G1059/100,-1)))</f>
        <v/>
      </c>
      <c r="I1059" s="11" t="inlineStr">
        <is>
          <t>W</t>
        </is>
      </c>
      <c r="J1059" s="10" t="inlineStr">
        <is>
          <t>WPG 4, PIT 5</t>
        </is>
      </c>
      <c r="K1059" s="10" t="inlineStr">
        <is>
          <t>DraftKings closing</t>
        </is>
      </c>
    </row>
    <row r="1060">
      <c r="A1060" s="9" t="n">
        <v>46102</v>
      </c>
      <c r="B1060" s="10" t="inlineStr">
        <is>
          <t>VGK @ NSH</t>
        </is>
      </c>
      <c r="C1060" s="13" t="n">
        <v>67.51000000000001</v>
      </c>
      <c r="D1060" s="13" t="n">
        <v>76.36</v>
      </c>
      <c r="E1060" s="13">
        <f>IF(OR(C1060="",D1060=""),"",ABS(C1060-D1060))</f>
        <v/>
      </c>
      <c r="F1060" s="11" t="inlineStr">
        <is>
          <t>NSH</t>
        </is>
      </c>
      <c r="G1060" s="12" t="n">
        <v>130</v>
      </c>
      <c r="H1060" s="14">
        <f>IF(OR(F1060="",G1060="",AND(I1060&lt;&gt;"W",I1060&lt;&gt;"L")),"",IF(I1060="W",IF(G1060&gt;0,G1060/100,1),IF(G1060&lt;0,G1060/100,-1)))</f>
        <v/>
      </c>
      <c r="I1060" s="11" t="inlineStr">
        <is>
          <t>W</t>
        </is>
      </c>
      <c r="J1060" s="10" t="inlineStr">
        <is>
          <t>VGK 1, NSH 4</t>
        </is>
      </c>
      <c r="K1060" s="10" t="inlineStr">
        <is>
          <t>DraftKings closing</t>
        </is>
      </c>
    </row>
    <row r="1061">
      <c r="A1061" s="9" t="n">
        <v>46102</v>
      </c>
      <c r="B1061" s="10" t="inlineStr">
        <is>
          <t>DAL @ MIN</t>
        </is>
      </c>
      <c r="C1061" s="13" t="n">
        <v>59.54</v>
      </c>
      <c r="D1061" s="13" t="n">
        <v>64.97</v>
      </c>
      <c r="E1061" s="13">
        <f>IF(OR(C1061="",D1061=""),"",ABS(C1061-D1061))</f>
        <v/>
      </c>
      <c r="F1061" s="11" t="inlineStr">
        <is>
          <t>MIN</t>
        </is>
      </c>
      <c r="G1061" s="12" t="n">
        <v>114</v>
      </c>
      <c r="H1061" s="14">
        <f>IF(OR(F1061="",G1061="",AND(I1061&lt;&gt;"W",I1061&lt;&gt;"L")),"",IF(I1061="W",IF(G1061&gt;0,G1061/100,1),IF(G1061&lt;0,G1061/100,-1)))</f>
        <v/>
      </c>
      <c r="I1061" s="11" t="inlineStr">
        <is>
          <t>W</t>
        </is>
      </c>
      <c r="J1061" s="10" t="inlineStr">
        <is>
          <t>DAL 1, MIN 2</t>
        </is>
      </c>
      <c r="K1061" s="10" t="inlineStr">
        <is>
          <t>DraftKings closing</t>
        </is>
      </c>
    </row>
    <row r="1062">
      <c r="A1062" s="9" t="n">
        <v>46102</v>
      </c>
      <c r="B1062" s="10" t="inlineStr">
        <is>
          <t>BUF @ LAK</t>
        </is>
      </c>
      <c r="C1062" s="13" t="n">
        <v>84.31</v>
      </c>
      <c r="D1062" s="13" t="n">
        <v>71.59</v>
      </c>
      <c r="E1062" s="13">
        <f>IF(OR(C1062="",D1062=""),"",ABS(C1062-D1062))</f>
        <v/>
      </c>
      <c r="F1062" s="11" t="inlineStr">
        <is>
          <t>BUF</t>
        </is>
      </c>
      <c r="G1062" s="12" t="n">
        <v>-130</v>
      </c>
      <c r="H1062" s="14">
        <f>IF(OR(F1062="",G1062="",AND(I1062&lt;&gt;"W",I1062&lt;&gt;"L")),"",IF(I1062="W",IF(G1062&gt;0,G1062/100,1),IF(G1062&lt;0,G1062/100,-1)))</f>
        <v/>
      </c>
      <c r="I1062" s="11" t="inlineStr">
        <is>
          <t>W</t>
        </is>
      </c>
      <c r="J1062" s="10" t="inlineStr">
        <is>
          <t>BUF 4, LAK 1</t>
        </is>
      </c>
      <c r="K1062" s="10" t="inlineStr">
        <is>
          <t>DraftKings closing</t>
        </is>
      </c>
    </row>
    <row r="1063">
      <c r="A1063" s="9" t="n">
        <v>46102</v>
      </c>
      <c r="B1063" s="10" t="inlineStr">
        <is>
          <t>PHI @ SJS</t>
        </is>
      </c>
      <c r="C1063" s="13" t="n">
        <v>68.41</v>
      </c>
      <c r="D1063" s="13" t="n">
        <v>55.69</v>
      </c>
      <c r="E1063" s="13">
        <f>IF(OR(C1063="",D1063=""),"",ABS(C1063-D1063))</f>
        <v/>
      </c>
      <c r="F1063" s="11" t="inlineStr">
        <is>
          <t>PHI</t>
        </is>
      </c>
      <c r="G1063" s="12" t="n">
        <v>102</v>
      </c>
      <c r="H1063" s="14">
        <f>IF(OR(F1063="",G1063="",AND(I1063&lt;&gt;"W",I1063&lt;&gt;"L")),"",IF(I1063="W",IF(G1063&gt;0,G1063/100,1),IF(G1063&lt;0,G1063/100,-1)))</f>
        <v/>
      </c>
      <c r="I1063" s="11" t="inlineStr">
        <is>
          <t>W</t>
        </is>
      </c>
      <c r="J1063" s="10" t="inlineStr">
        <is>
          <t>PHI 4, SJS 1</t>
        </is>
      </c>
      <c r="K1063" s="10" t="inlineStr">
        <is>
          <t>DraftKings closing</t>
        </is>
      </c>
    </row>
    <row r="1064">
      <c r="A1064" s="9" t="n">
        <v>46102</v>
      </c>
      <c r="B1064" s="10" t="inlineStr">
        <is>
          <t>SEA @ CBJ</t>
        </is>
      </c>
      <c r="C1064" s="13" t="n">
        <v>63.64</v>
      </c>
      <c r="D1064" s="13" t="n">
        <v>80.2</v>
      </c>
      <c r="E1064" s="13">
        <f>IF(OR(C1064="",D1064=""),"",ABS(C1064-D1064))</f>
        <v/>
      </c>
      <c r="F1064" s="11" t="inlineStr">
        <is>
          <t>CBJ</t>
        </is>
      </c>
      <c r="G1064" s="12" t="n">
        <v>-180</v>
      </c>
      <c r="H1064" s="14">
        <f>IF(OR(F1064="",G1064="",AND(I1064&lt;&gt;"W",I1064&lt;&gt;"L")),"",IF(I1064="W",IF(G1064&gt;0,G1064/100,1),IF(G1064&lt;0,G1064/100,-1)))</f>
        <v/>
      </c>
      <c r="I1064" s="11" t="inlineStr">
        <is>
          <t>W</t>
        </is>
      </c>
      <c r="J1064" s="10" t="inlineStr">
        <is>
          <t>SEA 2, CBJ 5</t>
        </is>
      </c>
      <c r="K1064" s="10" t="inlineStr">
        <is>
          <t>DraftKings closing</t>
        </is>
      </c>
    </row>
    <row r="1065">
      <c r="A1065" s="9" t="n">
        <v>46102</v>
      </c>
      <c r="B1065" s="10" t="inlineStr">
        <is>
          <t>NYI @ MTL</t>
        </is>
      </c>
      <c r="C1065" s="13" t="n">
        <v>63.45</v>
      </c>
      <c r="D1065" s="13" t="n">
        <v>71.98999999999999</v>
      </c>
      <c r="E1065" s="13">
        <f>IF(OR(C1065="",D1065=""),"",ABS(C1065-D1065))</f>
        <v/>
      </c>
      <c r="F1065" s="11" t="inlineStr">
        <is>
          <t>MTL</t>
        </is>
      </c>
      <c r="G1065" s="12" t="n">
        <v>-120</v>
      </c>
      <c r="H1065" s="14">
        <f>IF(OR(F1065="",G1065="",AND(I1065&lt;&gt;"W",I1065&lt;&gt;"L")),"",IF(I1065="W",IF(G1065&gt;0,G1065/100,1),IF(G1065&lt;0,G1065/100,-1)))</f>
        <v/>
      </c>
      <c r="I1065" s="11" t="inlineStr">
        <is>
          <t>W</t>
        </is>
      </c>
      <c r="J1065" s="10" t="inlineStr">
        <is>
          <t>NYI 3, MTL 7</t>
        </is>
      </c>
      <c r="K1065" s="10" t="inlineStr">
        <is>
          <t>DraftKings closing</t>
        </is>
      </c>
    </row>
    <row r="1066">
      <c r="A1066" s="9" t="n">
        <v>46102</v>
      </c>
      <c r="B1066" s="10" t="inlineStr">
        <is>
          <t>TOR @ OTT</t>
        </is>
      </c>
      <c r="C1066" s="13" t="n">
        <v>58.52</v>
      </c>
      <c r="D1066" s="13" t="n">
        <v>76.55</v>
      </c>
      <c r="E1066" s="13">
        <f>IF(OR(C1066="",D1066=""),"",ABS(C1066-D1066))</f>
        <v/>
      </c>
      <c r="F1066" s="11" t="inlineStr">
        <is>
          <t>OTT</t>
        </is>
      </c>
      <c r="G1066" s="12" t="n">
        <v>-325</v>
      </c>
      <c r="H1066" s="14">
        <f>IF(OR(F1066="",G1066="",AND(I1066&lt;&gt;"W",I1066&lt;&gt;"L")),"",IF(I1066="W",IF(G1066&gt;0,G1066/100,1),IF(G1066&lt;0,G1066/100,-1)))</f>
        <v/>
      </c>
      <c r="I1066" s="11" t="inlineStr">
        <is>
          <t>W</t>
        </is>
      </c>
      <c r="J1066" s="10" t="inlineStr">
        <is>
          <t>TOR 2, OTT 5</t>
        </is>
      </c>
      <c r="K1066" s="10" t="inlineStr">
        <is>
          <t>DraftKings closing</t>
        </is>
      </c>
    </row>
    <row r="1067">
      <c r="A1067" s="9" t="n">
        <v>46102</v>
      </c>
      <c r="B1067" s="10" t="inlineStr">
        <is>
          <t>STL @ VAN</t>
        </is>
      </c>
      <c r="C1067" s="13" t="n">
        <v>72.52</v>
      </c>
      <c r="D1067" s="13" t="n">
        <v>50.21</v>
      </c>
      <c r="E1067" s="13">
        <f>IF(OR(C1067="",D1067=""),"",ABS(C1067-D1067))</f>
        <v/>
      </c>
      <c r="F1067" s="11" t="inlineStr">
        <is>
          <t>STL</t>
        </is>
      </c>
      <c r="G1067" s="12" t="n">
        <v>-148</v>
      </c>
      <c r="H1067" s="14">
        <f>IF(OR(F1067="",G1067="",AND(I1067&lt;&gt;"W",I1067&lt;&gt;"L")),"",IF(I1067="W",IF(G1067&gt;0,G1067/100,1),IF(G1067&lt;0,G1067/100,-1)))</f>
        <v/>
      </c>
      <c r="I1067" s="11" t="inlineStr">
        <is>
          <t>W</t>
        </is>
      </c>
      <c r="J1067" s="10" t="inlineStr">
        <is>
          <t>STL 3, VAN 1</t>
        </is>
      </c>
      <c r="K1067" s="10" t="inlineStr">
        <is>
          <t>DraftKings closing</t>
        </is>
      </c>
    </row>
    <row r="1068">
      <c r="A1068" s="9" t="n">
        <v>46102</v>
      </c>
      <c r="B1068" s="10" t="inlineStr">
        <is>
          <t>BOS @ DET</t>
        </is>
      </c>
      <c r="C1068" s="13" t="n">
        <v>85.44</v>
      </c>
      <c r="D1068" s="13" t="n">
        <v>68.01000000000001</v>
      </c>
      <c r="E1068" s="13">
        <f>IF(OR(C1068="",D1068=""),"",ABS(C1068-D1068))</f>
        <v/>
      </c>
      <c r="F1068" s="11" t="inlineStr">
        <is>
          <t>BOS</t>
        </is>
      </c>
      <c r="G1068" s="12" t="n">
        <v>100</v>
      </c>
      <c r="H1068" s="14">
        <f>IF(OR(F1068="",G1068="",AND(I1068&lt;&gt;"W",I1068&lt;&gt;"L")),"",IF(I1068="W",IF(G1068&gt;0,G1068/100,1),IF(G1068&lt;0,G1068/100,-1)))</f>
        <v/>
      </c>
      <c r="I1068" s="11" t="inlineStr">
        <is>
          <t>W</t>
        </is>
      </c>
      <c r="J1068" s="10" t="inlineStr">
        <is>
          <t>BOS 4, DET 2</t>
        </is>
      </c>
      <c r="K1068" s="10" t="inlineStr">
        <is>
          <t>DraftKings closing</t>
        </is>
      </c>
    </row>
    <row r="1069">
      <c r="A1069" s="9" t="n">
        <v>46102</v>
      </c>
      <c r="B1069" s="10" t="inlineStr">
        <is>
          <t>TBL @ EDM</t>
        </is>
      </c>
      <c r="C1069" s="13" t="n">
        <v>89.79000000000001</v>
      </c>
      <c r="D1069" s="13" t="n">
        <v>53.57</v>
      </c>
      <c r="E1069" s="13">
        <f>IF(OR(C1069="",D1069=""),"",ABS(C1069-D1069))</f>
        <v/>
      </c>
      <c r="F1069" s="11" t="inlineStr">
        <is>
          <t>TBL</t>
        </is>
      </c>
      <c r="G1069" s="12" t="n">
        <v>-135</v>
      </c>
      <c r="H1069" s="14">
        <f>IF(OR(F1069="",G1069="",AND(I1069&lt;&gt;"W",I1069&lt;&gt;"L")),"",IF(I1069="W",IF(G1069&gt;0,G1069/100,1),IF(G1069&lt;0,G1069/100,-1)))</f>
        <v/>
      </c>
      <c r="I1069" s="11" t="inlineStr">
        <is>
          <t>W</t>
        </is>
      </c>
      <c r="J1069" s="10" t="inlineStr">
        <is>
          <t>TBL 5, EDM 2</t>
        </is>
      </c>
      <c r="K1069" s="10" t="inlineStr">
        <is>
          <t>DraftKings closing</t>
        </is>
      </c>
    </row>
    <row r="1070">
      <c r="A1070" s="9" t="n">
        <v>46103</v>
      </c>
      <c r="B1070" s="10" t="inlineStr">
        <is>
          <t>WPG @ NYR</t>
        </is>
      </c>
      <c r="C1070" s="13" t="n">
        <v>72.45999999999999</v>
      </c>
      <c r="D1070" s="13" t="n">
        <v>59.8</v>
      </c>
      <c r="E1070" s="13">
        <f>IF(OR(C1070="",D1070=""),"",ABS(C1070-D1070))</f>
        <v/>
      </c>
      <c r="F1070" s="11" t="inlineStr">
        <is>
          <t>WPG</t>
        </is>
      </c>
      <c r="G1070" s="12" t="n">
        <v>-105</v>
      </c>
      <c r="H1070" s="14">
        <f>IF(OR(F1070="",G1070="",AND(I1070&lt;&gt;"W",I1070&lt;&gt;"L")),"",IF(I1070="W",IF(G1070&gt;0,G1070/100,1),IF(G1070&lt;0,G1070/100,-1)))</f>
        <v/>
      </c>
      <c r="I1070" s="11" t="inlineStr">
        <is>
          <t>W</t>
        </is>
      </c>
      <c r="J1070" s="10" t="inlineStr">
        <is>
          <t>WPG 3, NYR 2</t>
        </is>
      </c>
      <c r="K1070" s="10" t="inlineStr">
        <is>
          <t>DraftKings closing</t>
        </is>
      </c>
    </row>
    <row r="1071">
      <c r="A1071" s="9" t="n">
        <v>46103</v>
      </c>
      <c r="B1071" s="10" t="inlineStr">
        <is>
          <t>COL @ WSH</t>
        </is>
      </c>
      <c r="C1071" s="13" t="n">
        <v>99.29000000000001</v>
      </c>
      <c r="D1071" s="13" t="n">
        <v>69.23999999999999</v>
      </c>
      <c r="E1071" s="13">
        <f>IF(OR(C1071="",D1071=""),"",ABS(C1071-D1071))</f>
        <v/>
      </c>
      <c r="F1071" s="11" t="inlineStr">
        <is>
          <t>COL</t>
        </is>
      </c>
      <c r="G1071" s="12" t="n">
        <v>-162</v>
      </c>
      <c r="H1071" s="14">
        <f>IF(OR(F1071="",G1071="",AND(I1071&lt;&gt;"W",I1071&lt;&gt;"L")),"",IF(I1071="W",IF(G1071&gt;0,G1071/100,1),IF(G1071&lt;0,G1071/100,-1)))</f>
        <v/>
      </c>
      <c r="I1071" s="11" t="inlineStr">
        <is>
          <t>W</t>
        </is>
      </c>
      <c r="J1071" s="10" t="inlineStr">
        <is>
          <t>COL 3, WSH 2</t>
        </is>
      </c>
      <c r="K1071" s="10" t="inlineStr">
        <is>
          <t>DraftKings closing</t>
        </is>
      </c>
    </row>
    <row r="1072">
      <c r="A1072" s="9" t="n">
        <v>46103</v>
      </c>
      <c r="B1072" s="10" t="inlineStr">
        <is>
          <t>CAR @ PIT</t>
        </is>
      </c>
      <c r="C1072" s="13" t="n">
        <v>81.48</v>
      </c>
      <c r="D1072" s="13" t="n">
        <v>67.54000000000001</v>
      </c>
      <c r="E1072" s="13">
        <f>IF(OR(C1072="",D1072=""),"",ABS(C1072-D1072))</f>
        <v/>
      </c>
      <c r="F1072" s="11" t="inlineStr">
        <is>
          <t>CAR</t>
        </is>
      </c>
      <c r="G1072" s="12" t="n">
        <v>-142</v>
      </c>
      <c r="H1072" s="14">
        <f>IF(OR(F1072="",G1072="",AND(I1072&lt;&gt;"W",I1072&lt;&gt;"L")),"",IF(I1072="W",IF(G1072&gt;0,G1072/100,1),IF(G1072&lt;0,G1072/100,-1)))</f>
        <v/>
      </c>
      <c r="I1072" s="11" t="inlineStr">
        <is>
          <t>W</t>
        </is>
      </c>
      <c r="J1072" s="10" t="inlineStr">
        <is>
          <t>CAR 5, PIT 1</t>
        </is>
      </c>
      <c r="K1072" s="10" t="inlineStr">
        <is>
          <t>DraftKings closing</t>
        </is>
      </c>
    </row>
    <row r="1073">
      <c r="A1073" s="9" t="n">
        <v>46103</v>
      </c>
      <c r="B1073" s="10" t="inlineStr">
        <is>
          <t>NSH @ CHI</t>
        </is>
      </c>
      <c r="C1073" s="13" t="n">
        <v>69.18000000000001</v>
      </c>
      <c r="D1073" s="13" t="n">
        <v>40.71</v>
      </c>
      <c r="E1073" s="13">
        <f>IF(OR(C1073="",D1073=""),"",ABS(C1073-D1073))</f>
        <v/>
      </c>
      <c r="F1073" s="11" t="inlineStr">
        <is>
          <t>NSH</t>
        </is>
      </c>
      <c r="G1073" s="12" t="n">
        <v>-115</v>
      </c>
      <c r="H1073" s="14">
        <f>IF(OR(F1073="",G1073="",AND(I1073&lt;&gt;"W",I1073&lt;&gt;"L")),"",IF(I1073="W",IF(G1073&gt;0,G1073/100,1),IF(G1073&lt;0,G1073/100,-1)))</f>
        <v/>
      </c>
      <c r="I1073" s="11" t="inlineStr">
        <is>
          <t>W</t>
        </is>
      </c>
      <c r="J1073" s="10" t="inlineStr">
        <is>
          <t>NSH 3, CHI 2</t>
        </is>
      </c>
      <c r="K1073" s="10" t="inlineStr">
        <is>
          <t>DraftKings closing</t>
        </is>
      </c>
    </row>
    <row r="1074">
      <c r="A1074" s="9" t="n">
        <v>46103</v>
      </c>
      <c r="B1074" s="10" t="inlineStr">
        <is>
          <t>CBJ @ NYI</t>
        </is>
      </c>
      <c r="C1074" s="13" t="n">
        <v>81.25</v>
      </c>
      <c r="D1074" s="13" t="n">
        <v>50.24</v>
      </c>
      <c r="E1074" s="13">
        <f>IF(OR(C1074="",D1074=""),"",ABS(C1074-D1074))</f>
        <v/>
      </c>
      <c r="F1074" s="11" t="inlineStr">
        <is>
          <t>CBJ</t>
        </is>
      </c>
      <c r="G1074" s="12" t="n">
        <v>-125</v>
      </c>
      <c r="H1074" s="14">
        <f>IF(OR(F1074="",G1074="",AND(I1074&lt;&gt;"W",I1074&lt;&gt;"L")),"",IF(I1074="W",IF(G1074&gt;0,G1074/100,1),IF(G1074&lt;0,G1074/100,-1)))</f>
        <v/>
      </c>
      <c r="I1074" s="11" t="inlineStr">
        <is>
          <t>L</t>
        </is>
      </c>
      <c r="J1074" s="10" t="inlineStr">
        <is>
          <t>CBJ 0, NYI 1</t>
        </is>
      </c>
      <c r="K1074" s="10" t="inlineStr">
        <is>
          <t>DraftKings closing</t>
        </is>
      </c>
    </row>
    <row r="1075">
      <c r="A1075" s="9" t="n">
        <v>46103</v>
      </c>
      <c r="B1075" s="10" t="inlineStr">
        <is>
          <t>VGK @ DAL</t>
        </is>
      </c>
      <c r="C1075" s="13" t="n">
        <v>70.81999999999999</v>
      </c>
      <c r="D1075" s="13" t="n">
        <v>69.38</v>
      </c>
      <c r="E1075" s="13">
        <f>IF(OR(C1075="",D1075=""),"",ABS(C1075-D1075))</f>
        <v/>
      </c>
      <c r="F1075" s="11" t="inlineStr">
        <is>
          <t>VGK</t>
        </is>
      </c>
      <c r="G1075" s="12" t="n">
        <v>114</v>
      </c>
      <c r="H1075" s="14">
        <f>IF(OR(F1075="",G1075="",AND(I1075&lt;&gt;"W",I1075&lt;&gt;"L")),"",IF(I1075="W",IF(G1075&gt;0,G1075/100,1),IF(G1075&lt;0,G1075/100,-1)))</f>
        <v/>
      </c>
      <c r="I1075" s="11" t="inlineStr">
        <is>
          <t>W</t>
        </is>
      </c>
      <c r="J1075" s="10" t="inlineStr">
        <is>
          <t>VGK 3, DAL 2</t>
        </is>
      </c>
      <c r="K1075" s="10" t="inlineStr">
        <is>
          <t>DraftKings closing</t>
        </is>
      </c>
    </row>
    <row r="1076">
      <c r="A1076" s="9" t="n">
        <v>46103</v>
      </c>
      <c r="B1076" s="10" t="inlineStr">
        <is>
          <t>TBL @ CGY</t>
        </is>
      </c>
      <c r="C1076" s="13" t="n">
        <v>80.54000000000001</v>
      </c>
      <c r="D1076" s="13" t="n">
        <v>79.33</v>
      </c>
      <c r="E1076" s="13">
        <f>IF(OR(C1076="",D1076=""),"",ABS(C1076-D1076))</f>
        <v/>
      </c>
      <c r="F1076" s="11" t="inlineStr">
        <is>
          <t>TBL</t>
        </is>
      </c>
      <c r="G1076" s="12" t="n">
        <v>-175</v>
      </c>
      <c r="H1076" s="14">
        <f>IF(OR(F1076="",G1076="",AND(I1076&lt;&gt;"W",I1076&lt;&gt;"L")),"",IF(I1076="W",IF(G1076&gt;0,G1076/100,1),IF(G1076&lt;0,G1076/100,-1)))</f>
        <v/>
      </c>
      <c r="I1076" s="11" t="inlineStr">
        <is>
          <t>L</t>
        </is>
      </c>
      <c r="J1076" s="10" t="inlineStr">
        <is>
          <t>TBL 3, CGY 4</t>
        </is>
      </c>
      <c r="K1076" s="10" t="inlineStr">
        <is>
          <t>DraftKings closing</t>
        </is>
      </c>
    </row>
    <row r="1077">
      <c r="A1077" s="9" t="n">
        <v>46103</v>
      </c>
      <c r="B1077" s="10" t="inlineStr">
        <is>
          <t>BUF @ ANA</t>
        </is>
      </c>
      <c r="C1077" s="13" t="n">
        <v>78.44</v>
      </c>
      <c r="D1077" s="13" t="n">
        <v>64.48</v>
      </c>
      <c r="E1077" s="13">
        <f>IF(OR(C1077="",D1077=""),"",ABS(C1077-D1077))</f>
        <v/>
      </c>
      <c r="F1077" s="11" t="inlineStr">
        <is>
          <t>BUF</t>
        </is>
      </c>
      <c r="G1077" s="12" t="n">
        <v>-118</v>
      </c>
      <c r="H1077" s="14">
        <f>IF(OR(F1077="",G1077="",AND(I1077&lt;&gt;"W",I1077&lt;&gt;"L")),"",IF(I1077="W",IF(G1077&gt;0,G1077/100,1),IF(G1077&lt;0,G1077/100,-1)))</f>
        <v/>
      </c>
      <c r="I1077" s="11" t="inlineStr">
        <is>
          <t>L</t>
        </is>
      </c>
      <c r="J1077" s="10" t="inlineStr">
        <is>
          <t>BUF 5, ANA 6</t>
        </is>
      </c>
      <c r="K1077" s="10" t="inlineStr">
        <is>
          <t>DraftKings closing</t>
        </is>
      </c>
    </row>
    <row r="1078">
      <c r="A1078" s="9" t="n">
        <v>46103</v>
      </c>
      <c r="B1078" s="10" t="inlineStr">
        <is>
          <t>LAK @ UTA</t>
        </is>
      </c>
      <c r="C1078" s="13" t="n">
        <v>61.56</v>
      </c>
      <c r="D1078" s="13" t="n">
        <v>75.52</v>
      </c>
      <c r="E1078" s="13">
        <f>IF(OR(C1078="",D1078=""),"",ABS(C1078-D1078))</f>
        <v/>
      </c>
      <c r="F1078" s="11" t="inlineStr">
        <is>
          <t>UTA</t>
        </is>
      </c>
      <c r="G1078" s="12" t="n">
        <v>-175</v>
      </c>
      <c r="H1078" s="14">
        <f>IF(OR(F1078="",G1078="",AND(I1078&lt;&gt;"W",I1078&lt;&gt;"L")),"",IF(I1078="W",IF(G1078&gt;0,G1078/100,1),IF(G1078&lt;0,G1078/100,-1)))</f>
        <v/>
      </c>
      <c r="I1078" s="11" t="inlineStr">
        <is>
          <t>W</t>
        </is>
      </c>
      <c r="J1078" s="10" t="inlineStr">
        <is>
          <t>LAK 3, UTA 4</t>
        </is>
      </c>
      <c r="K1078" s="10" t="inlineStr">
        <is>
          <t>DraftKings closing</t>
        </is>
      </c>
    </row>
    <row r="1079">
      <c r="A1079" s="9" t="n">
        <v>46104</v>
      </c>
      <c r="B1079" s="10" t="inlineStr">
        <is>
          <t>OTT @ NYR</t>
        </is>
      </c>
      <c r="C1079" s="13" t="n">
        <v>95.5</v>
      </c>
      <c r="D1079" s="13" t="n">
        <v>63.48</v>
      </c>
      <c r="E1079" s="13">
        <f>IF(OR(C1079="",D1079=""),"",ABS(C1079-D1079))</f>
        <v/>
      </c>
      <c r="F1079" s="11" t="inlineStr">
        <is>
          <t>OTT</t>
        </is>
      </c>
      <c r="G1079" s="12" t="n">
        <v>-192</v>
      </c>
      <c r="H1079" s="14">
        <f>IF(OR(F1079="",G1079="",AND(I1079&lt;&gt;"W",I1079&lt;&gt;"L")),"",IF(I1079="W",IF(G1079&gt;0,G1079/100,1),IF(G1079&lt;0,G1079/100,-1)))</f>
        <v/>
      </c>
      <c r="I1079" s="11" t="inlineStr">
        <is>
          <t>W</t>
        </is>
      </c>
      <c r="J1079" s="10" t="inlineStr">
        <is>
          <t>OTT 2, NYR 1</t>
        </is>
      </c>
      <c r="K1079" s="10" t="inlineStr">
        <is>
          <t>DraftKings closing</t>
        </is>
      </c>
    </row>
    <row r="1080">
      <c r="A1080" s="9" t="n">
        <v>46105</v>
      </c>
      <c r="B1080" s="10" t="inlineStr">
        <is>
          <t>TOR @ BOS</t>
        </is>
      </c>
      <c r="C1080" s="13" t="n">
        <v>44.5</v>
      </c>
      <c r="D1080" s="13" t="n">
        <v>68</v>
      </c>
      <c r="E1080" s="13">
        <f>IF(OR(C1080="",D1080=""),"",ABS(C1080-D1080))</f>
        <v/>
      </c>
      <c r="F1080" s="11" t="inlineStr">
        <is>
          <t>BOS</t>
        </is>
      </c>
      <c r="G1080" s="12" t="n">
        <v>-205</v>
      </c>
      <c r="H1080" s="14">
        <f>IF(OR(F1080="",G1080="",AND(I1080&lt;&gt;"W",I1080&lt;&gt;"L")),"",IF(I1080="W",IF(G1080&gt;0,G1080/100,1),IF(G1080&lt;0,G1080/100,-1)))</f>
        <v/>
      </c>
      <c r="I1080" s="11" t="inlineStr">
        <is>
          <t>L</t>
        </is>
      </c>
      <c r="J1080" s="10" t="inlineStr">
        <is>
          <t>TOR 4, BOS 2</t>
        </is>
      </c>
      <c r="K1080" s="10" t="inlineStr">
        <is>
          <t>DraftKings closing</t>
        </is>
      </c>
    </row>
    <row r="1081">
      <c r="A1081" s="9" t="n">
        <v>46105</v>
      </c>
      <c r="B1081" s="10" t="inlineStr">
        <is>
          <t>CAR @ MTL</t>
        </is>
      </c>
      <c r="C1081" s="13" t="n">
        <v>83.42</v>
      </c>
      <c r="D1081" s="13" t="n">
        <v>89.76000000000001</v>
      </c>
      <c r="E1081" s="13">
        <f>IF(OR(C1081="",D1081=""),"",ABS(C1081-D1081))</f>
        <v/>
      </c>
      <c r="F1081" s="11" t="inlineStr">
        <is>
          <t>MTL</t>
        </is>
      </c>
      <c r="G1081" s="12" t="n">
        <v>105</v>
      </c>
      <c r="H1081" s="14">
        <f>IF(OR(F1081="",G1081="",AND(I1081&lt;&gt;"W",I1081&lt;&gt;"L")),"",IF(I1081="W",IF(G1081&gt;0,G1081/100,1),IF(G1081&lt;0,G1081/100,-1)))</f>
        <v/>
      </c>
      <c r="I1081" s="11" t="inlineStr">
        <is>
          <t>W</t>
        </is>
      </c>
      <c r="J1081" s="10" t="inlineStr">
        <is>
          <t>CAR 2, MTL 5</t>
        </is>
      </c>
      <c r="K1081" s="10" t="inlineStr">
        <is>
          <t>DraftKings closing</t>
        </is>
      </c>
    </row>
    <row r="1082">
      <c r="A1082" s="9" t="n">
        <v>46105</v>
      </c>
      <c r="B1082" s="10" t="inlineStr">
        <is>
          <t>OTT @ DET</t>
        </is>
      </c>
      <c r="C1082" s="13" t="n">
        <v>79.17</v>
      </c>
      <c r="D1082" s="13" t="n">
        <v>72</v>
      </c>
      <c r="E1082" s="13">
        <f>IF(OR(C1082="",D1082=""),"",ABS(C1082-D1082))</f>
        <v/>
      </c>
      <c r="F1082" s="11" t="inlineStr">
        <is>
          <t>OTT</t>
        </is>
      </c>
      <c r="G1082" s="12" t="n">
        <v>114</v>
      </c>
      <c r="H1082" s="14">
        <f>IF(OR(F1082="",G1082="",AND(I1082&lt;&gt;"W",I1082&lt;&gt;"L")),"",IF(I1082="W",IF(G1082&gt;0,G1082/100,1),IF(G1082&lt;0,G1082/100,-1)))</f>
        <v/>
      </c>
      <c r="I1082" s="11" t="inlineStr">
        <is>
          <t>W</t>
        </is>
      </c>
      <c r="J1082" s="10" t="inlineStr">
        <is>
          <t>OTT 3, DET 2</t>
        </is>
      </c>
      <c r="K1082" s="10" t="inlineStr">
        <is>
          <t>DraftKings closing</t>
        </is>
      </c>
    </row>
    <row r="1083">
      <c r="A1083" s="9" t="n">
        <v>46105</v>
      </c>
      <c r="B1083" s="10" t="inlineStr">
        <is>
          <t>SEA @ FLA</t>
        </is>
      </c>
      <c r="C1083" s="13" t="n">
        <v>58.75</v>
      </c>
      <c r="D1083" s="13" t="n">
        <v>60.67</v>
      </c>
      <c r="E1083" s="13">
        <f>IF(OR(C1083="",D1083=""),"",ABS(C1083-D1083))</f>
        <v/>
      </c>
      <c r="F1083" s="11" t="inlineStr">
        <is>
          <t>FLA</t>
        </is>
      </c>
      <c r="G1083" s="12" t="n">
        <v>-130</v>
      </c>
      <c r="H1083" s="14">
        <f>IF(OR(F1083="",G1083="",AND(I1083&lt;&gt;"W",I1083&lt;&gt;"L")),"",IF(I1083="W",IF(G1083&gt;0,G1083/100,1),IF(G1083&lt;0,G1083/100,-1)))</f>
        <v/>
      </c>
      <c r="I1083" s="11" t="inlineStr">
        <is>
          <t>W</t>
        </is>
      </c>
      <c r="J1083" s="10" t="inlineStr">
        <is>
          <t>SEA 4, FLA 5</t>
        </is>
      </c>
      <c r="K1083" s="10" t="inlineStr">
        <is>
          <t>DraftKings closing</t>
        </is>
      </c>
    </row>
    <row r="1084">
      <c r="A1084" s="9" t="n">
        <v>46105</v>
      </c>
      <c r="B1084" s="10" t="inlineStr">
        <is>
          <t>CHI @ NYI</t>
        </is>
      </c>
      <c r="C1084" s="13" t="n">
        <v>70.06999999999999</v>
      </c>
      <c r="D1084" s="13" t="n">
        <v>73.84</v>
      </c>
      <c r="E1084" s="13">
        <f>IF(OR(C1084="",D1084=""),"",ABS(C1084-D1084))</f>
        <v/>
      </c>
      <c r="F1084" s="11" t="inlineStr">
        <is>
          <t>NYI</t>
        </is>
      </c>
      <c r="G1084" s="12" t="n">
        <v>-166</v>
      </c>
      <c r="H1084" s="14">
        <f>IF(OR(F1084="",G1084="",AND(I1084&lt;&gt;"W",I1084&lt;&gt;"L")),"",IF(I1084="W",IF(G1084&gt;0,G1084/100,1),IF(G1084&lt;0,G1084/100,-1)))</f>
        <v/>
      </c>
      <c r="I1084" s="11" t="inlineStr">
        <is>
          <t>L</t>
        </is>
      </c>
      <c r="J1084" s="10" t="inlineStr">
        <is>
          <t>CHI 4, NYI 3</t>
        </is>
      </c>
      <c r="K1084" s="10" t="inlineStr">
        <is>
          <t>DraftKings closing</t>
        </is>
      </c>
    </row>
    <row r="1085">
      <c r="A1085" s="9" t="n">
        <v>46105</v>
      </c>
      <c r="B1085" s="10" t="inlineStr">
        <is>
          <t>CBJ @ PHI</t>
        </is>
      </c>
      <c r="C1085" s="13" t="n">
        <v>66.16</v>
      </c>
      <c r="D1085" s="13" t="n">
        <v>72.16</v>
      </c>
      <c r="E1085" s="13">
        <f>IF(OR(C1085="",D1085=""),"",ABS(C1085-D1085))</f>
        <v/>
      </c>
      <c r="F1085" s="11" t="inlineStr">
        <is>
          <t>PHI</t>
        </is>
      </c>
      <c r="G1085" s="12" t="n">
        <v>114</v>
      </c>
      <c r="H1085" s="14">
        <f>IF(OR(F1085="",G1085="",AND(I1085&lt;&gt;"W",I1085&lt;&gt;"L")),"",IF(I1085="W",IF(G1085&gt;0,G1085/100,1),IF(G1085&lt;0,G1085/100,-1)))</f>
        <v/>
      </c>
      <c r="I1085" s="11" t="inlineStr">
        <is>
          <t>L</t>
        </is>
      </c>
      <c r="J1085" s="10" t="inlineStr">
        <is>
          <t>CBJ 3, PHI 2</t>
        </is>
      </c>
      <c r="K1085" s="10" t="inlineStr">
        <is>
          <t>DraftKings closing</t>
        </is>
      </c>
    </row>
    <row r="1086">
      <c r="A1086" s="9" t="n">
        <v>46105</v>
      </c>
      <c r="B1086" s="10" t="inlineStr">
        <is>
          <t>COL @ PIT</t>
        </is>
      </c>
      <c r="C1086" s="13" t="n">
        <v>76.06999999999999</v>
      </c>
      <c r="D1086" s="13" t="n">
        <v>56.58</v>
      </c>
      <c r="E1086" s="13">
        <f>IF(OR(C1086="",D1086=""),"",ABS(C1086-D1086))</f>
        <v/>
      </c>
      <c r="F1086" s="11" t="inlineStr">
        <is>
          <t>COL</t>
        </is>
      </c>
      <c r="G1086" s="12" t="n">
        <v>-175</v>
      </c>
      <c r="H1086" s="14">
        <f>IF(OR(F1086="",G1086="",AND(I1086&lt;&gt;"W",I1086&lt;&gt;"L")),"",IF(I1086="W",IF(G1086&gt;0,G1086/100,1),IF(G1086&lt;0,G1086/100,-1)))</f>
        <v/>
      </c>
      <c r="I1086" s="11" t="inlineStr">
        <is>
          <t>W</t>
        </is>
      </c>
      <c r="J1086" s="10" t="inlineStr">
        <is>
          <t>COL 6, PIT 2</t>
        </is>
      </c>
      <c r="K1086" s="10" t="inlineStr">
        <is>
          <t>DraftKings closing</t>
        </is>
      </c>
    </row>
    <row r="1087">
      <c r="A1087" s="9" t="n">
        <v>46105</v>
      </c>
      <c r="B1087" s="10" t="inlineStr">
        <is>
          <t>MIN @ TBL</t>
        </is>
      </c>
      <c r="C1087" s="13" t="n">
        <v>70.62</v>
      </c>
      <c r="D1087" s="13" t="n">
        <v>70.11</v>
      </c>
      <c r="E1087" s="13">
        <f>IF(OR(C1087="",D1087=""),"",ABS(C1087-D1087))</f>
        <v/>
      </c>
      <c r="F1087" s="11" t="inlineStr">
        <is>
          <t>MIN</t>
        </is>
      </c>
      <c r="G1087" s="12" t="n">
        <v>124</v>
      </c>
      <c r="H1087" s="14">
        <f>IF(OR(F1087="",G1087="",AND(I1087&lt;&gt;"W",I1087&lt;&gt;"L")),"",IF(I1087="W",IF(G1087&gt;0,G1087/100,1),IF(G1087&lt;0,G1087/100,-1)))</f>
        <v/>
      </c>
      <c r="I1087" s="11" t="inlineStr">
        <is>
          <t>L</t>
        </is>
      </c>
      <c r="J1087" s="10" t="inlineStr">
        <is>
          <t>MIN 3, TBL 6</t>
        </is>
      </c>
      <c r="K1087" s="10" t="inlineStr">
        <is>
          <t>DraftKings closing</t>
        </is>
      </c>
    </row>
    <row r="1088">
      <c r="A1088" s="9" t="n">
        <v>46105</v>
      </c>
      <c r="B1088" s="10" t="inlineStr">
        <is>
          <t>WSH @ STL</t>
        </is>
      </c>
      <c r="C1088" s="13" t="n">
        <v>63.93</v>
      </c>
      <c r="D1088" s="13" t="n">
        <v>84.18000000000001</v>
      </c>
      <c r="E1088" s="13">
        <f>IF(OR(C1088="",D1088=""),"",ABS(C1088-D1088))</f>
        <v/>
      </c>
      <c r="F1088" s="11" t="inlineStr">
        <is>
          <t>STL</t>
        </is>
      </c>
      <c r="G1088" s="12" t="n">
        <v>-105</v>
      </c>
      <c r="H1088" s="14">
        <f>IF(OR(F1088="",G1088="",AND(I1088&lt;&gt;"W",I1088&lt;&gt;"L")),"",IF(I1088="W",IF(G1088&gt;0,G1088/100,1),IF(G1088&lt;0,G1088/100,-1)))</f>
        <v/>
      </c>
      <c r="I1088" s="11" t="inlineStr">
        <is>
          <t>W</t>
        </is>
      </c>
      <c r="J1088" s="10" t="inlineStr">
        <is>
          <t>WSH 0, STL 3</t>
        </is>
      </c>
      <c r="K1088" s="10" t="inlineStr">
        <is>
          <t>DraftKings closing</t>
        </is>
      </c>
    </row>
    <row r="1089">
      <c r="A1089" s="9" t="n">
        <v>46105</v>
      </c>
      <c r="B1089" s="10" t="inlineStr">
        <is>
          <t>SJS @ NSH</t>
        </is>
      </c>
      <c r="C1089" s="13" t="n">
        <v>67.84</v>
      </c>
      <c r="D1089" s="13" t="n">
        <v>69.93000000000001</v>
      </c>
      <c r="E1089" s="13">
        <f>IF(OR(C1089="",D1089=""),"",ABS(C1089-D1089))</f>
        <v/>
      </c>
      <c r="F1089" s="11" t="inlineStr">
        <is>
          <t>NSH</t>
        </is>
      </c>
      <c r="G1089" s="12" t="n">
        <v>-142</v>
      </c>
      <c r="H1089" s="14">
        <f>IF(OR(F1089="",G1089="",AND(I1089&lt;&gt;"W",I1089&lt;&gt;"L")),"",IF(I1089="W",IF(G1089&gt;0,G1089/100,1),IF(G1089&lt;0,G1089/100,-1)))</f>
        <v/>
      </c>
      <c r="I1089" s="11" t="inlineStr">
        <is>
          <t>W</t>
        </is>
      </c>
      <c r="J1089" s="10" t="inlineStr">
        <is>
          <t>SJS 3, NSH 6</t>
        </is>
      </c>
      <c r="K1089" s="10" t="inlineStr">
        <is>
          <t>DraftKings closing</t>
        </is>
      </c>
    </row>
    <row r="1090">
      <c r="A1090" s="9" t="n">
        <v>46105</v>
      </c>
      <c r="B1090" s="10" t="inlineStr">
        <is>
          <t>NJD @ DAL</t>
        </is>
      </c>
      <c r="C1090" s="13" t="n">
        <v>70.76000000000001</v>
      </c>
      <c r="D1090" s="13" t="n">
        <v>54.97</v>
      </c>
      <c r="E1090" s="13">
        <f>IF(OR(C1090="",D1090=""),"",ABS(C1090-D1090))</f>
        <v/>
      </c>
      <c r="F1090" s="11" t="inlineStr">
        <is>
          <t>NJD</t>
        </is>
      </c>
      <c r="G1090" s="12" t="n">
        <v>136</v>
      </c>
      <c r="H1090" s="14">
        <f>IF(OR(F1090="",G1090="",AND(I1090&lt;&gt;"W",I1090&lt;&gt;"L")),"",IF(I1090="W",IF(G1090&gt;0,G1090/100,1),IF(G1090&lt;0,G1090/100,-1)))</f>
        <v/>
      </c>
      <c r="I1090" s="11" t="inlineStr">
        <is>
          <t>W</t>
        </is>
      </c>
      <c r="J1090" s="10" t="inlineStr">
        <is>
          <t>NJD 6, DAL 4</t>
        </is>
      </c>
      <c r="K1090" s="10" t="inlineStr">
        <is>
          <t>DraftKings closing</t>
        </is>
      </c>
    </row>
    <row r="1091">
      <c r="A1091" s="9" t="n">
        <v>46105</v>
      </c>
      <c r="B1091" s="10" t="inlineStr">
        <is>
          <t>VGK @ WPG</t>
        </is>
      </c>
      <c r="C1091" s="13" t="n">
        <v>85.03</v>
      </c>
      <c r="D1091" s="13" t="n">
        <v>76.52</v>
      </c>
      <c r="E1091" s="13">
        <f>IF(OR(C1091="",D1091=""),"",ABS(C1091-D1091))</f>
        <v/>
      </c>
      <c r="F1091" s="11" t="inlineStr">
        <is>
          <t>VGK</t>
        </is>
      </c>
      <c r="G1091" s="12" t="n">
        <v>-135</v>
      </c>
      <c r="H1091" s="14">
        <f>IF(OR(F1091="",G1091="",AND(I1091&lt;&gt;"W",I1091&lt;&gt;"L")),"",IF(I1091="W",IF(G1091&gt;0,G1091/100,1),IF(G1091&lt;0,G1091/100,-1)))</f>
        <v/>
      </c>
      <c r="I1091" s="11" t="inlineStr">
        <is>
          <t>L</t>
        </is>
      </c>
      <c r="J1091" s="10" t="inlineStr">
        <is>
          <t>VGK 1, WPG 4</t>
        </is>
      </c>
      <c r="K1091" s="10" t="inlineStr">
        <is>
          <t>DraftKings closing</t>
        </is>
      </c>
    </row>
    <row r="1092">
      <c r="A1092" s="9" t="n">
        <v>46105</v>
      </c>
      <c r="B1092" s="10" t="inlineStr">
        <is>
          <t>LAK @ CGY</t>
        </is>
      </c>
      <c r="C1092" s="13" t="n">
        <v>73.42</v>
      </c>
      <c r="D1092" s="13" t="n">
        <v>69.89</v>
      </c>
      <c r="E1092" s="13">
        <f>IF(OR(C1092="",D1092=""),"",ABS(C1092-D1092))</f>
        <v/>
      </c>
      <c r="F1092" s="11" t="inlineStr">
        <is>
          <t>LAK</t>
        </is>
      </c>
      <c r="G1092" s="12" t="n">
        <v>-148</v>
      </c>
      <c r="H1092" s="14">
        <f>IF(OR(F1092="",G1092="",AND(I1092&lt;&gt;"W",I1092&lt;&gt;"L")),"",IF(I1092="W",IF(G1092&gt;0,G1092/100,1),IF(G1092&lt;0,G1092/100,-1)))</f>
        <v/>
      </c>
      <c r="I1092" s="11" t="inlineStr">
        <is>
          <t>L</t>
        </is>
      </c>
      <c r="J1092" s="10" t="inlineStr">
        <is>
          <t>LAK 2, CGY 3</t>
        </is>
      </c>
      <c r="K1092" s="10" t="inlineStr">
        <is>
          <t>DraftKings closing</t>
        </is>
      </c>
    </row>
    <row r="1093">
      <c r="A1093" s="9" t="n">
        <v>46105</v>
      </c>
      <c r="B1093" s="10" t="inlineStr">
        <is>
          <t>EDM @ UTA</t>
        </is>
      </c>
      <c r="C1093" s="13" t="n">
        <v>59.46</v>
      </c>
      <c r="D1093" s="13" t="n">
        <v>66.58</v>
      </c>
      <c r="E1093" s="13">
        <f>IF(OR(C1093="",D1093=""),"",ABS(C1093-D1093))</f>
        <v/>
      </c>
      <c r="F1093" s="11" t="inlineStr">
        <is>
          <t>UTA</t>
        </is>
      </c>
      <c r="G1093" s="12" t="n">
        <v>-135</v>
      </c>
      <c r="H1093" s="14">
        <f>IF(OR(F1093="",G1093="",AND(I1093&lt;&gt;"W",I1093&lt;&gt;"L")),"",IF(I1093="W",IF(G1093&gt;0,G1093/100,1),IF(G1093&lt;0,G1093/100,-1)))</f>
        <v/>
      </c>
      <c r="I1093" s="11" t="inlineStr">
        <is>
          <t>L</t>
        </is>
      </c>
      <c r="J1093" s="10" t="inlineStr">
        <is>
          <t>EDM 5, UTA 2</t>
        </is>
      </c>
      <c r="K1093" s="10" t="inlineStr">
        <is>
          <t>DraftKings closing</t>
        </is>
      </c>
    </row>
    <row r="1094">
      <c r="A1094" s="9" t="n">
        <v>46105</v>
      </c>
      <c r="B1094" s="10" t="inlineStr">
        <is>
          <t>ANA @ VAN</t>
        </is>
      </c>
      <c r="C1094" s="13" t="n">
        <v>74.67</v>
      </c>
      <c r="D1094" s="13" t="n">
        <v>55.82</v>
      </c>
      <c r="E1094" s="13">
        <f>IF(OR(C1094="",D1094=""),"",ABS(C1094-D1094))</f>
        <v/>
      </c>
      <c r="F1094" s="11" t="inlineStr">
        <is>
          <t>ANA</t>
        </is>
      </c>
      <c r="G1094" s="12" t="n">
        <v>-180</v>
      </c>
      <c r="H1094" s="14">
        <f>IF(OR(F1094="",G1094="",AND(I1094&lt;&gt;"W",I1094&lt;&gt;"L")),"",IF(I1094="W",IF(G1094&gt;0,G1094/100,1),IF(G1094&lt;0,G1094/100,-1)))</f>
        <v/>
      </c>
      <c r="I1094" s="11" t="inlineStr">
        <is>
          <t>W</t>
        </is>
      </c>
      <c r="J1094" s="10" t="inlineStr">
        <is>
          <t>ANA 5, VAN 3</t>
        </is>
      </c>
      <c r="K1094" s="10" t="inlineStr">
        <is>
          <t>DraftKings closing</t>
        </is>
      </c>
    </row>
    <row r="1095">
      <c r="A1095" s="9" t="n">
        <v>46106</v>
      </c>
      <c r="B1095" s="10" t="inlineStr">
        <is>
          <t>BOS @ BUF</t>
        </is>
      </c>
      <c r="C1095" s="13" t="n">
        <v>61.5</v>
      </c>
      <c r="D1095" s="13" t="n">
        <v>65.33</v>
      </c>
      <c r="E1095" s="13">
        <f>IF(OR(C1095="",D1095=""),"",ABS(C1095-D1095))</f>
        <v/>
      </c>
      <c r="F1095" s="11" t="inlineStr">
        <is>
          <t>BUF</t>
        </is>
      </c>
      <c r="G1095" s="12" t="n">
        <v>-205</v>
      </c>
      <c r="H1095" s="14">
        <f>IF(OR(F1095="",G1095="",AND(I1095&lt;&gt;"W",I1095&lt;&gt;"L")),"",IF(I1095="W",IF(G1095&gt;0,G1095/100,1),IF(G1095&lt;0,G1095/100,-1)))</f>
        <v/>
      </c>
      <c r="I1095" s="11" t="inlineStr">
        <is>
          <t>L</t>
        </is>
      </c>
      <c r="J1095" s="10" t="inlineStr">
        <is>
          <t>BOS 4, BUF 3</t>
        </is>
      </c>
      <c r="K1095" s="10" t="inlineStr">
        <is>
          <t>DraftKings closing</t>
        </is>
      </c>
    </row>
    <row r="1096">
      <c r="A1096" s="9" t="n">
        <v>46106</v>
      </c>
      <c r="B1096" s="10" t="inlineStr">
        <is>
          <t>NYR @ TOR</t>
        </is>
      </c>
      <c r="C1096" s="13" t="n">
        <v>60.83</v>
      </c>
      <c r="D1096" s="13" t="n">
        <v>78.5</v>
      </c>
      <c r="E1096" s="13">
        <f>IF(OR(C1096="",D1096=""),"",ABS(C1096-D1096))</f>
        <v/>
      </c>
      <c r="F1096" s="11" t="inlineStr">
        <is>
          <t>TOR</t>
        </is>
      </c>
      <c r="G1096" s="12" t="n">
        <v>110</v>
      </c>
      <c r="H1096" s="14">
        <f>IF(OR(F1096="",G1096="",AND(I1096&lt;&gt;"W",I1096&lt;&gt;"L")),"",IF(I1096="W",IF(G1096&gt;0,G1096/100,1),IF(G1096&lt;0,G1096/100,-1)))</f>
        <v/>
      </c>
      <c r="I1096" s="11" t="inlineStr">
        <is>
          <t>W</t>
        </is>
      </c>
      <c r="J1096" s="10" t="inlineStr">
        <is>
          <t>NYR 3, TOR 4</t>
        </is>
      </c>
      <c r="K1096" s="10" t="inlineStr">
        <is>
          <t>DraftKings closing</t>
        </is>
      </c>
    </row>
    <row r="1097">
      <c r="A1097" s="9" t="n">
        <v>46107</v>
      </c>
      <c r="B1097" s="10" t="inlineStr">
        <is>
          <t>CBJ @ MTL</t>
        </is>
      </c>
      <c r="C1097" s="13" t="n">
        <v>71.47</v>
      </c>
      <c r="D1097" s="13" t="n">
        <v>62.34</v>
      </c>
      <c r="E1097" s="13">
        <f>IF(OR(C1097="",D1097=""),"",ABS(C1097-D1097))</f>
        <v/>
      </c>
      <c r="F1097" s="11" t="inlineStr">
        <is>
          <t>CBJ</t>
        </is>
      </c>
      <c r="G1097" s="12" t="n">
        <v>-108</v>
      </c>
      <c r="H1097" s="14">
        <f>IF(OR(F1097="",G1097="",AND(I1097&lt;&gt;"W",I1097&lt;&gt;"L")),"",IF(I1097="W",IF(G1097&gt;0,G1097/100,1),IF(G1097&lt;0,G1097/100,-1)))</f>
        <v/>
      </c>
      <c r="I1097" s="11" t="inlineStr">
        <is>
          <t>L</t>
        </is>
      </c>
      <c r="J1097" s="10" t="inlineStr">
        <is>
          <t>CBJ 1, MTL 2</t>
        </is>
      </c>
      <c r="K1097" s="10" t="inlineStr">
        <is>
          <t>DraftKings closing</t>
        </is>
      </c>
    </row>
    <row r="1098">
      <c r="A1098" s="9" t="n">
        <v>46107</v>
      </c>
      <c r="B1098" s="10" t="inlineStr">
        <is>
          <t>PIT @ OTT</t>
        </is>
      </c>
      <c r="C1098" s="13" t="n">
        <v>65.19</v>
      </c>
      <c r="D1098" s="13" t="n">
        <v>72.58</v>
      </c>
      <c r="E1098" s="13">
        <f>IF(OR(C1098="",D1098=""),"",ABS(C1098-D1098))</f>
        <v/>
      </c>
      <c r="F1098" s="11" t="inlineStr">
        <is>
          <t>OTT</t>
        </is>
      </c>
      <c r="G1098" s="12" t="n">
        <v>-148</v>
      </c>
      <c r="H1098" s="14">
        <f>IF(OR(F1098="",G1098="",AND(I1098&lt;&gt;"W",I1098&lt;&gt;"L")),"",IF(I1098="W",IF(G1098&gt;0,G1098/100,1),IF(G1098&lt;0,G1098/100,-1)))</f>
        <v/>
      </c>
      <c r="I1098" s="11" t="inlineStr">
        <is>
          <t>L</t>
        </is>
      </c>
      <c r="J1098" s="10" t="inlineStr">
        <is>
          <t>PIT 4, OTT 3</t>
        </is>
      </c>
      <c r="K1098" s="10" t="inlineStr">
        <is>
          <t>DraftKings closing</t>
        </is>
      </c>
    </row>
    <row r="1099">
      <c r="A1099" s="9" t="n">
        <v>46107</v>
      </c>
      <c r="B1099" s="10" t="inlineStr">
        <is>
          <t>SEA @ TBL</t>
        </is>
      </c>
      <c r="C1099" s="13" t="n">
        <v>69.23999999999999</v>
      </c>
      <c r="D1099" s="13" t="n">
        <v>78.84</v>
      </c>
      <c r="E1099" s="13">
        <f>IF(OR(C1099="",D1099=""),"",ABS(C1099-D1099))</f>
        <v/>
      </c>
      <c r="F1099" s="11" t="inlineStr">
        <is>
          <t>TBL</t>
        </is>
      </c>
      <c r="G1099" s="12" t="n">
        <v>-290</v>
      </c>
      <c r="H1099" s="14">
        <f>IF(OR(F1099="",G1099="",AND(I1099&lt;&gt;"W",I1099&lt;&gt;"L")),"",IF(I1099="W",IF(G1099&gt;0,G1099/100,1),IF(G1099&lt;0,G1099/100,-1)))</f>
        <v/>
      </c>
      <c r="I1099" s="11" t="inlineStr">
        <is>
          <t>L</t>
        </is>
      </c>
      <c r="J1099" s="10" t="inlineStr">
        <is>
          <t>SEA 4, TBL 3</t>
        </is>
      </c>
      <c r="K1099" s="10" t="inlineStr">
        <is>
          <t>DraftKings closing</t>
        </is>
      </c>
    </row>
    <row r="1100">
      <c r="A1100" s="9" t="n">
        <v>46107</v>
      </c>
      <c r="B1100" s="10" t="inlineStr">
        <is>
          <t>MIN @ FLA</t>
        </is>
      </c>
      <c r="C1100" s="13" t="n">
        <v>61.16</v>
      </c>
      <c r="D1100" s="13" t="n">
        <v>70.76000000000001</v>
      </c>
      <c r="E1100" s="13">
        <f>IF(OR(C1100="",D1100=""),"",ABS(C1100-D1100))</f>
        <v/>
      </c>
      <c r="F1100" s="11" t="inlineStr">
        <is>
          <t>FLA</t>
        </is>
      </c>
      <c r="G1100" s="12" t="n">
        <v>140</v>
      </c>
      <c r="H1100" s="14">
        <f>IF(OR(F1100="",G1100="",AND(I1100&lt;&gt;"W",I1100&lt;&gt;"L")),"",IF(I1100="W",IF(G1100&gt;0,G1100/100,1),IF(G1100&lt;0,G1100/100,-1)))</f>
        <v/>
      </c>
      <c r="I1100" s="11" t="inlineStr">
        <is>
          <t>L</t>
        </is>
      </c>
      <c r="J1100" s="10" t="inlineStr">
        <is>
          <t>MIN 3, FLA 2</t>
        </is>
      </c>
      <c r="K1100" s="10" t="inlineStr">
        <is>
          <t>DraftKings closing</t>
        </is>
      </c>
    </row>
    <row r="1101">
      <c r="A1101" s="9" t="n">
        <v>46107</v>
      </c>
      <c r="B1101" s="10" t="inlineStr">
        <is>
          <t>DAL @ NYI</t>
        </is>
      </c>
      <c r="C1101" s="13" t="n">
        <v>66.25</v>
      </c>
      <c r="D1101" s="13" t="n">
        <v>82.75</v>
      </c>
      <c r="E1101" s="13">
        <f>IF(OR(C1101="",D1101=""),"",ABS(C1101-D1101))</f>
        <v/>
      </c>
      <c r="F1101" s="11" t="inlineStr">
        <is>
          <t>NYI</t>
        </is>
      </c>
      <c r="G1101" s="12" t="n">
        <v>-102</v>
      </c>
      <c r="H1101" s="14">
        <f>IF(OR(F1101="",G1101="",AND(I1101&lt;&gt;"W",I1101&lt;&gt;"L")),"",IF(I1101="W",IF(G1101&gt;0,G1101/100,1),IF(G1101&lt;0,G1101/100,-1)))</f>
        <v/>
      </c>
      <c r="I1101" s="11" t="inlineStr">
        <is>
          <t>W</t>
        </is>
      </c>
      <c r="J1101" s="10" t="inlineStr">
        <is>
          <t>DAL 1, NYI 2</t>
        </is>
      </c>
      <c r="K1101" s="10" t="inlineStr">
        <is>
          <t>DraftKings closing</t>
        </is>
      </c>
    </row>
    <row r="1102">
      <c r="A1102" s="9" t="n">
        <v>46107</v>
      </c>
      <c r="B1102" s="10" t="inlineStr">
        <is>
          <t>CHI @ PHI</t>
        </is>
      </c>
      <c r="C1102" s="13" t="n">
        <v>57.25</v>
      </c>
      <c r="D1102" s="13" t="n">
        <v>68.53</v>
      </c>
      <c r="E1102" s="13">
        <f>IF(OR(C1102="",D1102=""),"",ABS(C1102-D1102))</f>
        <v/>
      </c>
      <c r="F1102" s="11" t="inlineStr">
        <is>
          <t>PHI</t>
        </is>
      </c>
      <c r="G1102" s="12" t="n">
        <v>-142</v>
      </c>
      <c r="H1102" s="14">
        <f>IF(OR(F1102="",G1102="",AND(I1102&lt;&gt;"W",I1102&lt;&gt;"L")),"",IF(I1102="W",IF(G1102&gt;0,G1102/100,1),IF(G1102&lt;0,G1102/100,-1)))</f>
        <v/>
      </c>
      <c r="I1102" s="11" t="inlineStr">
        <is>
          <t>W</t>
        </is>
      </c>
      <c r="J1102" s="10" t="inlineStr">
        <is>
          <t>CHI 1, PHI 5</t>
        </is>
      </c>
      <c r="K1102" s="10" t="inlineStr">
        <is>
          <t>DraftKings closing</t>
        </is>
      </c>
    </row>
    <row r="1103">
      <c r="A1103" s="9" t="n">
        <v>46107</v>
      </c>
      <c r="B1103" s="10" t="inlineStr">
        <is>
          <t>SJS @ STL</t>
        </is>
      </c>
      <c r="C1103" s="13" t="n">
        <v>65.33</v>
      </c>
      <c r="D1103" s="13" t="n">
        <v>81.23999999999999</v>
      </c>
      <c r="E1103" s="13">
        <f>IF(OR(C1103="",D1103=""),"",ABS(C1103-D1103))</f>
        <v/>
      </c>
      <c r="F1103" s="11" t="inlineStr">
        <is>
          <t>STL</t>
        </is>
      </c>
      <c r="G1103" s="12" t="n">
        <v>-130</v>
      </c>
      <c r="H1103" s="14">
        <f>IF(OR(F1103="",G1103="",AND(I1103&lt;&gt;"W",I1103&lt;&gt;"L")),"",IF(I1103="W",IF(G1103&gt;0,G1103/100,1),IF(G1103&lt;0,G1103/100,-1)))</f>
        <v/>
      </c>
      <c r="I1103" s="11" t="inlineStr">
        <is>
          <t>W</t>
        </is>
      </c>
      <c r="J1103" s="10" t="inlineStr">
        <is>
          <t>SJS 1, STL 2</t>
        </is>
      </c>
      <c r="K1103" s="10" t="inlineStr">
        <is>
          <t>DraftKings closing</t>
        </is>
      </c>
    </row>
    <row r="1104">
      <c r="A1104" s="9" t="n">
        <v>46107</v>
      </c>
      <c r="B1104" s="10" t="inlineStr">
        <is>
          <t>NJD @ NSH</t>
        </is>
      </c>
      <c r="C1104" s="13" t="n">
        <v>73.75</v>
      </c>
      <c r="D1104" s="13" t="n">
        <v>74.67</v>
      </c>
      <c r="E1104" s="13">
        <f>IF(OR(C1104="",D1104=""),"",ABS(C1104-D1104))</f>
        <v/>
      </c>
      <c r="F1104" s="11" t="inlineStr">
        <is>
          <t>NSH</t>
        </is>
      </c>
      <c r="G1104" s="12" t="n">
        <v>-112</v>
      </c>
      <c r="H1104" s="14">
        <f>IF(OR(F1104="",G1104="",AND(I1104&lt;&gt;"W",I1104&lt;&gt;"L")),"",IF(I1104="W",IF(G1104&gt;0,G1104/100,1),IF(G1104&lt;0,G1104/100,-1)))</f>
        <v/>
      </c>
      <c r="I1104" s="11" t="inlineStr">
        <is>
          <t>L</t>
        </is>
      </c>
      <c r="J1104" s="10" t="inlineStr">
        <is>
          <t>NJD 4, NSH 2</t>
        </is>
      </c>
      <c r="K1104" s="10" t="inlineStr">
        <is>
          <t>DraftKings closing</t>
        </is>
      </c>
    </row>
    <row r="1105">
      <c r="A1105" s="9" t="n">
        <v>46107</v>
      </c>
      <c r="B1105" s="10" t="inlineStr">
        <is>
          <t>COL @ WPG</t>
        </is>
      </c>
      <c r="C1105" s="13" t="n">
        <v>74.81</v>
      </c>
      <c r="D1105" s="13" t="n">
        <v>72.83</v>
      </c>
      <c r="E1105" s="13">
        <f>IF(OR(C1105="",D1105=""),"",ABS(C1105-D1105))</f>
        <v/>
      </c>
      <c r="F1105" s="11" t="inlineStr">
        <is>
          <t>COL</t>
        </is>
      </c>
      <c r="G1105" s="12" t="n">
        <v>-185</v>
      </c>
      <c r="H1105" s="14">
        <f>IF(OR(F1105="",G1105="",AND(I1105&lt;&gt;"W",I1105&lt;&gt;"L")),"",IF(I1105="W",IF(G1105&gt;0,G1105/100,1),IF(G1105&lt;0,G1105/100,-1)))</f>
        <v/>
      </c>
      <c r="I1105" s="11" t="inlineStr">
        <is>
          <t>W</t>
        </is>
      </c>
      <c r="J1105" s="10" t="inlineStr">
        <is>
          <t>COL 3, WPG 2</t>
        </is>
      </c>
      <c r="K1105" s="10" t="inlineStr">
        <is>
          <t>DraftKings closing</t>
        </is>
      </c>
    </row>
    <row r="1106">
      <c r="A1106" s="9" t="n">
        <v>46107</v>
      </c>
      <c r="B1106" s="10" t="inlineStr">
        <is>
          <t>WSH @ UTA</t>
        </is>
      </c>
      <c r="C1106" s="13" t="n">
        <v>58.76</v>
      </c>
      <c r="D1106" s="13" t="n">
        <v>59.81</v>
      </c>
      <c r="E1106" s="13">
        <f>IF(OR(C1106="",D1106=""),"",ABS(C1106-D1106))</f>
        <v/>
      </c>
      <c r="F1106" s="11" t="inlineStr">
        <is>
          <t>UTA</t>
        </is>
      </c>
      <c r="G1106" s="12" t="n">
        <v>-135</v>
      </c>
      <c r="H1106" s="14">
        <f>IF(OR(F1106="",G1106="",AND(I1106&lt;&gt;"W",I1106&lt;&gt;"L")),"",IF(I1106="W",IF(G1106&gt;0,G1106/100,1),IF(G1106&lt;0,G1106/100,-1)))</f>
        <v/>
      </c>
      <c r="I1106" s="11" t="inlineStr">
        <is>
          <t>L</t>
        </is>
      </c>
      <c r="J1106" s="10" t="inlineStr">
        <is>
          <t>WSH 7, UTA 4</t>
        </is>
      </c>
      <c r="K1106" s="10" t="inlineStr">
        <is>
          <t>DraftKings closing</t>
        </is>
      </c>
    </row>
    <row r="1107">
      <c r="A1107" s="9" t="n">
        <v>46107</v>
      </c>
      <c r="B1107" s="10" t="inlineStr">
        <is>
          <t>ANA @ CGY</t>
        </is>
      </c>
      <c r="C1107" s="13" t="n">
        <v>73.89</v>
      </c>
      <c r="D1107" s="13" t="n">
        <v>65.52</v>
      </c>
      <c r="E1107" s="13">
        <f>IF(OR(C1107="",D1107=""),"",ABS(C1107-D1107))</f>
        <v/>
      </c>
      <c r="F1107" s="11" t="inlineStr">
        <is>
          <t>ANA</t>
        </is>
      </c>
      <c r="G1107" s="12" t="n">
        <v>-135</v>
      </c>
      <c r="H1107" s="14">
        <f>IF(OR(F1107="",G1107="",AND(I1107&lt;&gt;"W",I1107&lt;&gt;"L")),"",IF(I1107="W",IF(G1107&gt;0,G1107/100,1),IF(G1107&lt;0,G1107/100,-1)))</f>
        <v/>
      </c>
      <c r="I1107" s="11" t="inlineStr">
        <is>
          <t>W</t>
        </is>
      </c>
      <c r="J1107" s="10" t="inlineStr">
        <is>
          <t>ANA 3, CGY 2</t>
        </is>
      </c>
      <c r="K1107" s="10" t="inlineStr">
        <is>
          <t>DraftKings closing</t>
        </is>
      </c>
    </row>
    <row r="1108">
      <c r="A1108" s="9" t="n">
        <v>46107</v>
      </c>
      <c r="B1108" s="10" t="inlineStr">
        <is>
          <t>EDM @ VGK</t>
        </is>
      </c>
      <c r="C1108" s="13" t="n">
        <v>80.19</v>
      </c>
      <c r="D1108" s="13" t="n">
        <v>67.17</v>
      </c>
      <c r="E1108" s="13">
        <f>IF(OR(C1108="",D1108=""),"",ABS(C1108-D1108))</f>
        <v/>
      </c>
      <c r="F1108" s="11" t="inlineStr">
        <is>
          <t>EDM</t>
        </is>
      </c>
      <c r="G1108" s="12" t="n">
        <v>120</v>
      </c>
      <c r="H1108" s="14">
        <f>IF(OR(F1108="",G1108="",AND(I1108&lt;&gt;"W",I1108&lt;&gt;"L")),"",IF(I1108="W",IF(G1108&gt;0,G1108/100,1),IF(G1108&lt;0,G1108/100,-1)))</f>
        <v/>
      </c>
      <c r="I1108" s="11" t="inlineStr">
        <is>
          <t>W</t>
        </is>
      </c>
      <c r="J1108" s="10" t="inlineStr">
        <is>
          <t>EDM 4, VGK 3</t>
        </is>
      </c>
      <c r="K1108" s="10" t="inlineStr">
        <is>
          <t>DraftKings closing</t>
        </is>
      </c>
    </row>
    <row r="1109">
      <c r="A1109" s="9" t="n">
        <v>46107</v>
      </c>
      <c r="B1109" s="10" t="inlineStr">
        <is>
          <t>LAK @ VAN</t>
        </is>
      </c>
      <c r="C1109" s="13" t="n">
        <v>74.48</v>
      </c>
      <c r="D1109" s="13" t="n">
        <v>66.11</v>
      </c>
      <c r="E1109" s="13">
        <f>IF(OR(C1109="",D1109=""),"",ABS(C1109-D1109))</f>
        <v/>
      </c>
      <c r="F1109" s="11" t="inlineStr">
        <is>
          <t>LAK</t>
        </is>
      </c>
      <c r="G1109" s="12" t="n">
        <v>-175</v>
      </c>
      <c r="H1109" s="14">
        <f>IF(OR(F1109="",G1109="",AND(I1109&lt;&gt;"W",I1109&lt;&gt;"L")),"",IF(I1109="W",IF(G1109&gt;0,G1109/100,1),IF(G1109&lt;0,G1109/100,-1)))</f>
        <v/>
      </c>
      <c r="I1109" s="11" t="inlineStr">
        <is>
          <t>W</t>
        </is>
      </c>
      <c r="J1109" s="10" t="inlineStr">
        <is>
          <t>LAK 4, VAN 0</t>
        </is>
      </c>
      <c r="K1109" s="10" t="inlineStr">
        <is>
          <t>DraftKings closing</t>
        </is>
      </c>
    </row>
    <row r="1110">
      <c r="A1110" s="9" t="n">
        <v>46108</v>
      </c>
      <c r="B1110" s="10" t="inlineStr">
        <is>
          <t>DET @ BUF</t>
        </is>
      </c>
      <c r="C1110" s="13" t="n">
        <v>67.42</v>
      </c>
      <c r="D1110" s="13" t="n">
        <v>64.31999999999999</v>
      </c>
      <c r="E1110" s="13">
        <f>IF(OR(C1110="",D1110=""),"",ABS(C1110-D1110))</f>
        <v/>
      </c>
      <c r="F1110" s="11" t="inlineStr">
        <is>
          <t>DET</t>
        </is>
      </c>
      <c r="G1110" s="12" t="n">
        <v>120</v>
      </c>
      <c r="H1110" s="14">
        <f>IF(OR(F1110="",G1110="",AND(I1110&lt;&gt;"W",I1110&lt;&gt;"L")),"",IF(I1110="W",IF(G1110&gt;0,G1110/100,1),IF(G1110&lt;0,G1110/100,-1)))</f>
        <v/>
      </c>
      <c r="I1110" s="11" t="inlineStr">
        <is>
          <t>W</t>
        </is>
      </c>
      <c r="J1110" s="10" t="inlineStr">
        <is>
          <t>DET 5, BUF 2</t>
        </is>
      </c>
      <c r="K1110" s="10" t="inlineStr">
        <is>
          <t>DraftKings closing</t>
        </is>
      </c>
    </row>
    <row r="1111">
      <c r="A1111" s="9" t="n">
        <v>46108</v>
      </c>
      <c r="B1111" s="10" t="inlineStr">
        <is>
          <t>CHI @ NYR</t>
        </is>
      </c>
      <c r="C1111" s="13" t="n">
        <v>42.21</v>
      </c>
      <c r="D1111" s="13" t="n">
        <v>77.87</v>
      </c>
      <c r="E1111" s="13">
        <f>IF(OR(C1111="",D1111=""),"",ABS(C1111-D1111))</f>
        <v/>
      </c>
      <c r="F1111" s="11" t="inlineStr">
        <is>
          <t>NYR</t>
        </is>
      </c>
      <c r="G1111" s="12" t="n">
        <v>-175</v>
      </c>
      <c r="H1111" s="14">
        <f>IF(OR(F1111="",G1111="",AND(I1111&lt;&gt;"W",I1111&lt;&gt;"L")),"",IF(I1111="W",IF(G1111&gt;0,G1111/100,1),IF(G1111&lt;0,G1111/100,-1)))</f>
        <v/>
      </c>
      <c r="I1111" s="11" t="inlineStr">
        <is>
          <t>W</t>
        </is>
      </c>
      <c r="J1111" s="10" t="inlineStr">
        <is>
          <t>CHI 1, NYR 6</t>
        </is>
      </c>
      <c r="K1111" s="10" t="inlineStr">
        <is>
          <t>DraftKings closing</t>
        </is>
      </c>
    </row>
    <row r="1112">
      <c r="A1112" s="9" t="n">
        <v>46109</v>
      </c>
      <c r="B1112" s="10" t="inlineStr">
        <is>
          <t>OTT @ TBL</t>
        </is>
      </c>
      <c r="C1112" s="13" t="n">
        <v>64.09999999999999</v>
      </c>
      <c r="D1112" s="13" t="n">
        <v>79.97</v>
      </c>
      <c r="E1112" s="13">
        <f>IF(OR(C1112="",D1112=""),"",ABS(C1112-D1112))</f>
        <v/>
      </c>
      <c r="F1112" s="11" t="inlineStr">
        <is>
          <t>TBL</t>
        </is>
      </c>
      <c r="G1112" s="12" t="n">
        <v>-135</v>
      </c>
      <c r="H1112" s="14">
        <f>IF(OR(F1112="",G1112="",AND(I1112&lt;&gt;"W",I1112&lt;&gt;"L")),"",IF(I1112="W",IF(G1112&gt;0,G1112/100,1),IF(G1112&lt;0,G1112/100,-1)))</f>
        <v/>
      </c>
      <c r="I1112" s="11" t="inlineStr">
        <is>
          <t>W</t>
        </is>
      </c>
      <c r="J1112" s="10" t="inlineStr">
        <is>
          <t>OTT 2, TBL 4</t>
        </is>
      </c>
      <c r="K1112" s="10" t="inlineStr">
        <is>
          <t>DraftKings closing</t>
        </is>
      </c>
    </row>
    <row r="1113">
      <c r="A1113" s="9" t="n">
        <v>46109</v>
      </c>
      <c r="B1113" s="10" t="inlineStr">
        <is>
          <t>FLA @ NYI</t>
        </is>
      </c>
      <c r="C1113" s="13" t="n">
        <v>51.22</v>
      </c>
      <c r="D1113" s="13" t="n">
        <v>74.06</v>
      </c>
      <c r="E1113" s="13">
        <f>IF(OR(C1113="",D1113=""),"",ABS(C1113-D1113))</f>
        <v/>
      </c>
      <c r="F1113" s="11" t="inlineStr">
        <is>
          <t>NYI</t>
        </is>
      </c>
      <c r="G1113" s="12" t="n">
        <v>-205</v>
      </c>
      <c r="H1113" s="14">
        <f>IF(OR(F1113="",G1113="",AND(I1113&lt;&gt;"W",I1113&lt;&gt;"L")),"",IF(I1113="W",IF(G1113&gt;0,G1113/100,1),IF(G1113&lt;0,G1113/100,-1)))</f>
        <v/>
      </c>
      <c r="I1113" s="11" t="inlineStr">
        <is>
          <t>W</t>
        </is>
      </c>
      <c r="J1113" s="10" t="inlineStr">
        <is>
          <t>FLA 2, NYI 5</t>
        </is>
      </c>
      <c r="K1113" s="10" t="inlineStr">
        <is>
          <t>DraftKings closing</t>
        </is>
      </c>
    </row>
    <row r="1114">
      <c r="A1114" s="9" t="n">
        <v>46109</v>
      </c>
      <c r="B1114" s="10" t="inlineStr">
        <is>
          <t>ANA @ EDM</t>
        </is>
      </c>
      <c r="C1114" s="13" t="n">
        <v>76.16</v>
      </c>
      <c r="D1114" s="13" t="n">
        <v>78.20999999999999</v>
      </c>
      <c r="E1114" s="13">
        <f>IF(OR(C1114="",D1114=""),"",ABS(C1114-D1114))</f>
        <v/>
      </c>
      <c r="F1114" s="11" t="inlineStr">
        <is>
          <t>EDM</t>
        </is>
      </c>
      <c r="G1114" s="12" t="n">
        <v>-148</v>
      </c>
      <c r="H1114" s="14">
        <f>IF(OR(F1114="",G1114="",AND(I1114&lt;&gt;"W",I1114&lt;&gt;"L")),"",IF(I1114="W",IF(G1114&gt;0,G1114/100,1),IF(G1114&lt;0,G1114/100,-1)))</f>
        <v/>
      </c>
      <c r="I1114" s="11" t="inlineStr">
        <is>
          <t>W</t>
        </is>
      </c>
      <c r="J1114" s="10" t="inlineStr">
        <is>
          <t>ANA 2, EDM 4</t>
        </is>
      </c>
      <c r="K1114" s="10" t="inlineStr">
        <is>
          <t>DraftKings closing</t>
        </is>
      </c>
    </row>
    <row r="1115">
      <c r="A1115" s="9" t="n">
        <v>46109</v>
      </c>
      <c r="B1115" s="10" t="inlineStr">
        <is>
          <t>MIN @ BOS</t>
        </is>
      </c>
      <c r="C1115" s="13" t="n">
        <v>88.78</v>
      </c>
      <c r="D1115" s="13" t="n">
        <v>75.68000000000001</v>
      </c>
      <c r="E1115" s="13">
        <f>IF(OR(C1115="",D1115=""),"",ABS(C1115-D1115))</f>
        <v/>
      </c>
      <c r="F1115" s="11" t="inlineStr">
        <is>
          <t>MIN</t>
        </is>
      </c>
      <c r="G1115" s="12" t="n">
        <v>-115</v>
      </c>
      <c r="H1115" s="14">
        <f>IF(OR(F1115="",G1115="",AND(I1115&lt;&gt;"W",I1115&lt;&gt;"L")),"",IF(I1115="W",IF(G1115&gt;0,G1115/100,1),IF(G1115&lt;0,G1115/100,-1)))</f>
        <v/>
      </c>
      <c r="I1115" s="11" t="inlineStr">
        <is>
          <t>L</t>
        </is>
      </c>
      <c r="J1115" s="10" t="inlineStr">
        <is>
          <t>MIN 3, BOS 6</t>
        </is>
      </c>
      <c r="K1115" s="10" t="inlineStr">
        <is>
          <t>DraftKings closing</t>
        </is>
      </c>
    </row>
    <row r="1116">
      <c r="A1116" s="9" t="n">
        <v>46109</v>
      </c>
      <c r="B1116" s="10" t="inlineStr">
        <is>
          <t>DAL @ PIT</t>
        </is>
      </c>
      <c r="C1116" s="13" t="n">
        <v>65.94</v>
      </c>
      <c r="D1116" s="13" t="n">
        <v>75.90000000000001</v>
      </c>
      <c r="E1116" s="13">
        <f>IF(OR(C1116="",D1116=""),"",ABS(C1116-D1116))</f>
        <v/>
      </c>
      <c r="F1116" s="11" t="inlineStr">
        <is>
          <t>PIT</t>
        </is>
      </c>
      <c r="G1116" s="12" t="n">
        <v>110</v>
      </c>
      <c r="H1116" s="14">
        <f>IF(OR(F1116="",G1116="",AND(I1116&lt;&gt;"W",I1116&lt;&gt;"L")),"",IF(I1116="W",IF(G1116&gt;0,G1116/100,1),IF(G1116&lt;0,G1116/100,-1)))</f>
        <v/>
      </c>
      <c r="I1116" s="11" t="inlineStr">
        <is>
          <t>L</t>
        </is>
      </c>
      <c r="J1116" s="10" t="inlineStr">
        <is>
          <t>DAL 6, PIT 3</t>
        </is>
      </c>
      <c r="K1116" s="10" t="inlineStr">
        <is>
          <t>DraftKings closing</t>
        </is>
      </c>
    </row>
    <row r="1117">
      <c r="A1117" s="9" t="n">
        <v>46109</v>
      </c>
      <c r="B1117" s="10" t="inlineStr">
        <is>
          <t>NJD @ CAR</t>
        </is>
      </c>
      <c r="C1117" s="13" t="n">
        <v>77.40000000000001</v>
      </c>
      <c r="D1117" s="13" t="n">
        <v>77.66</v>
      </c>
      <c r="E1117" s="13">
        <f>IF(OR(C1117="",D1117=""),"",ABS(C1117-D1117))</f>
        <v/>
      </c>
      <c r="F1117" s="11" t="inlineStr">
        <is>
          <t>CAR</t>
        </is>
      </c>
      <c r="G1117" s="12" t="n">
        <v>-205</v>
      </c>
      <c r="H1117" s="14">
        <f>IF(OR(F1117="",G1117="",AND(I1117&lt;&gt;"W",I1117&lt;&gt;"L")),"",IF(I1117="W",IF(G1117&gt;0,G1117/100,1),IF(G1117&lt;0,G1117/100,-1)))</f>
        <v/>
      </c>
      <c r="I1117" s="11" t="inlineStr">
        <is>
          <t>W</t>
        </is>
      </c>
      <c r="J1117" s="10" t="inlineStr">
        <is>
          <t>NJD 2, CAR 5</t>
        </is>
      </c>
      <c r="K1117" s="10" t="inlineStr">
        <is>
          <t>DraftKings closing</t>
        </is>
      </c>
    </row>
    <row r="1118">
      <c r="A1118" s="9" t="n">
        <v>46109</v>
      </c>
      <c r="B1118" s="10" t="inlineStr">
        <is>
          <t>SJS @ CBJ</t>
        </is>
      </c>
      <c r="C1118" s="13" t="n">
        <v>72.23999999999999</v>
      </c>
      <c r="D1118" s="13" t="n">
        <v>76.40000000000001</v>
      </c>
      <c r="E1118" s="13">
        <f>IF(OR(C1118="",D1118=""),"",ABS(C1118-D1118))</f>
        <v/>
      </c>
      <c r="F1118" s="11" t="inlineStr">
        <is>
          <t>CBJ</t>
        </is>
      </c>
      <c r="G1118" s="12" t="n">
        <v>-185</v>
      </c>
      <c r="H1118" s="14">
        <f>IF(OR(F1118="",G1118="",AND(I1118&lt;&gt;"W",I1118&lt;&gt;"L")),"",IF(I1118="W",IF(G1118&gt;0,G1118/100,1),IF(G1118&lt;0,G1118/100,-1)))</f>
        <v/>
      </c>
      <c r="I1118" s="11" t="inlineStr">
        <is>
          <t>L</t>
        </is>
      </c>
      <c r="J1118" s="10" t="inlineStr">
        <is>
          <t>SJS 3, CBJ 2</t>
        </is>
      </c>
      <c r="K1118" s="10" t="inlineStr">
        <is>
          <t>DraftKings closing</t>
        </is>
      </c>
    </row>
    <row r="1119">
      <c r="A1119" s="9" t="n">
        <v>46109</v>
      </c>
      <c r="B1119" s="10" t="inlineStr">
        <is>
          <t>SEA @ BUF</t>
        </is>
      </c>
      <c r="C1119" s="13" t="n">
        <v>60.03</v>
      </c>
      <c r="D1119" s="13" t="n">
        <v>71.68000000000001</v>
      </c>
      <c r="E1119" s="13">
        <f>IF(OR(C1119="",D1119=""),"",ABS(C1119-D1119))</f>
        <v/>
      </c>
      <c r="F1119" s="11" t="inlineStr">
        <is>
          <t>BUF</t>
        </is>
      </c>
      <c r="G1119" s="12" t="n">
        <v>-198</v>
      </c>
      <c r="H1119" s="14">
        <f>IF(OR(F1119="",G1119="",AND(I1119&lt;&gt;"W",I1119&lt;&gt;"L")),"",IF(I1119="W",IF(G1119&gt;0,G1119/100,1),IF(G1119&lt;0,G1119/100,-1)))</f>
        <v/>
      </c>
      <c r="I1119" s="11" t="inlineStr">
        <is>
          <t>W</t>
        </is>
      </c>
      <c r="J1119" s="10" t="inlineStr">
        <is>
          <t>SEA 2, BUF 3</t>
        </is>
      </c>
      <c r="K1119" s="10" t="inlineStr">
        <is>
          <t>DraftKings closing</t>
        </is>
      </c>
    </row>
    <row r="1120">
      <c r="A1120" s="9" t="n">
        <v>46109</v>
      </c>
      <c r="B1120" s="10" t="inlineStr">
        <is>
          <t>TOR @ STL</t>
        </is>
      </c>
      <c r="C1120" s="13" t="n">
        <v>62.13</v>
      </c>
      <c r="D1120" s="13" t="n">
        <v>67.76000000000001</v>
      </c>
      <c r="E1120" s="13">
        <f>IF(OR(C1120="",D1120=""),"",ABS(C1120-D1120))</f>
        <v/>
      </c>
      <c r="F1120" s="11" t="inlineStr">
        <is>
          <t>STL</t>
        </is>
      </c>
      <c r="G1120" s="12" t="n">
        <v>-148</v>
      </c>
      <c r="H1120" s="14">
        <f>IF(OR(F1120="",G1120="",AND(I1120&lt;&gt;"W",I1120&lt;&gt;"L")),"",IF(I1120="W",IF(G1120&gt;0,G1120/100,1),IF(G1120&lt;0,G1120/100,-1)))</f>
        <v/>
      </c>
      <c r="I1120" s="11" t="inlineStr">
        <is>
          <t>W</t>
        </is>
      </c>
      <c r="J1120" s="10" t="inlineStr">
        <is>
          <t>TOR 1, STL 5</t>
        </is>
      </c>
      <c r="K1120" s="10" t="inlineStr">
        <is>
          <t>DraftKings closing</t>
        </is>
      </c>
    </row>
    <row r="1121">
      <c r="A1121" s="9" t="n">
        <v>46109</v>
      </c>
      <c r="B1121" s="10" t="inlineStr">
        <is>
          <t>MTL @ NSH</t>
        </is>
      </c>
      <c r="C1121" s="13" t="n">
        <v>63.6</v>
      </c>
      <c r="D1121" s="13" t="n">
        <v>62.6</v>
      </c>
      <c r="E1121" s="13">
        <f>IF(OR(C1121="",D1121=""),"",ABS(C1121-D1121))</f>
        <v/>
      </c>
      <c r="F1121" s="11" t="inlineStr">
        <is>
          <t>MTL</t>
        </is>
      </c>
      <c r="G1121" s="12" t="n">
        <v>-115</v>
      </c>
      <c r="H1121" s="14">
        <f>IF(OR(F1121="",G1121="",AND(I1121&lt;&gt;"W",I1121&lt;&gt;"L")),"",IF(I1121="W",IF(G1121&gt;0,G1121/100,1),IF(G1121&lt;0,G1121/100,-1)))</f>
        <v/>
      </c>
      <c r="I1121" s="11" t="inlineStr">
        <is>
          <t>W</t>
        </is>
      </c>
      <c r="J1121" s="10" t="inlineStr">
        <is>
          <t>MTL 4, NSH 1</t>
        </is>
      </c>
      <c r="K1121" s="10" t="inlineStr">
        <is>
          <t>DraftKings closing</t>
        </is>
      </c>
    </row>
    <row r="1122">
      <c r="A1122" s="9" t="n">
        <v>46109</v>
      </c>
      <c r="B1122" s="10" t="inlineStr">
        <is>
          <t>WPG @ COL</t>
        </is>
      </c>
      <c r="C1122" s="13" t="n">
        <v>58.81</v>
      </c>
      <c r="D1122" s="13" t="n">
        <v>81.19</v>
      </c>
      <c r="E1122" s="13">
        <f>IF(OR(C1122="",D1122=""),"",ABS(C1122-D1122))</f>
        <v/>
      </c>
      <c r="F1122" s="11" t="inlineStr">
        <is>
          <t>COL</t>
        </is>
      </c>
      <c r="G1122" s="12" t="n">
        <v>-270</v>
      </c>
      <c r="H1122" s="14">
        <f>IF(OR(F1122="",G1122="",AND(I1122&lt;&gt;"W",I1122&lt;&gt;"L")),"",IF(I1122="W",IF(G1122&gt;0,G1122/100,1),IF(G1122&lt;0,G1122/100,-1)))</f>
        <v/>
      </c>
      <c r="I1122" s="11" t="inlineStr">
        <is>
          <t>L</t>
        </is>
      </c>
      <c r="J1122" s="10" t="inlineStr">
        <is>
          <t>WPG 4, COL 2</t>
        </is>
      </c>
      <c r="K1122" s="10" t="inlineStr">
        <is>
          <t>DraftKings closing</t>
        </is>
      </c>
    </row>
    <row r="1123">
      <c r="A1123" s="9" t="n">
        <v>46109</v>
      </c>
      <c r="B1123" s="10" t="inlineStr">
        <is>
          <t>PHI @ DET</t>
        </is>
      </c>
      <c r="C1123" s="13" t="n">
        <v>97.79000000000001</v>
      </c>
      <c r="D1123" s="13" t="n">
        <v>68.31999999999999</v>
      </c>
      <c r="E1123" s="13">
        <f>IF(OR(C1123="",D1123=""),"",ABS(C1123-D1123))</f>
        <v/>
      </c>
      <c r="F1123" s="11" t="inlineStr">
        <is>
          <t>PHI</t>
        </is>
      </c>
      <c r="G1123" s="12" t="n">
        <v>110</v>
      </c>
      <c r="H1123" s="14">
        <f>IF(OR(F1123="",G1123="",AND(I1123&lt;&gt;"W",I1123&lt;&gt;"L")),"",IF(I1123="W",IF(G1123&gt;0,G1123/100,1),IF(G1123&lt;0,G1123/100,-1)))</f>
        <v/>
      </c>
      <c r="I1123" s="11" t="inlineStr">
        <is>
          <t>W</t>
        </is>
      </c>
      <c r="J1123" s="10" t="inlineStr">
        <is>
          <t>PHI 5, DET 3</t>
        </is>
      </c>
      <c r="K1123" s="10" t="inlineStr">
        <is>
          <t>DraftKings closing</t>
        </is>
      </c>
    </row>
    <row r="1124">
      <c r="A1124" s="9" t="n">
        <v>46109</v>
      </c>
      <c r="B1124" s="10" t="inlineStr">
        <is>
          <t>UTA @ LAK</t>
        </is>
      </c>
      <c r="C1124" s="13" t="n">
        <v>75.56999999999999</v>
      </c>
      <c r="D1124" s="13" t="n">
        <v>88.23</v>
      </c>
      <c r="E1124" s="13">
        <f>IF(OR(C1124="",D1124=""),"",ABS(C1124-D1124))</f>
        <v/>
      </c>
      <c r="F1124" s="11" t="inlineStr">
        <is>
          <t>LAK</t>
        </is>
      </c>
      <c r="G1124" s="12" t="n">
        <v>-115</v>
      </c>
      <c r="H1124" s="14">
        <f>IF(OR(F1124="",G1124="",AND(I1124&lt;&gt;"W",I1124&lt;&gt;"L")),"",IF(I1124="W",IF(G1124&gt;0,G1124/100,1),IF(G1124&lt;0,G1124/100,-1)))</f>
        <v/>
      </c>
      <c r="I1124" s="11" t="inlineStr">
        <is>
          <t>L</t>
        </is>
      </c>
      <c r="J1124" s="10" t="inlineStr">
        <is>
          <t>UTA 6, LAK 2</t>
        </is>
      </c>
      <c r="K1124" s="10" t="inlineStr">
        <is>
          <t>DraftKings closing</t>
        </is>
      </c>
    </row>
    <row r="1125">
      <c r="A1125" s="9" t="n">
        <v>46109</v>
      </c>
      <c r="B1125" s="10" t="inlineStr">
        <is>
          <t>VAN @ CGY</t>
        </is>
      </c>
      <c r="C1125" s="13" t="n">
        <v>51.77</v>
      </c>
      <c r="D1125" s="13" t="n">
        <v>63.84</v>
      </c>
      <c r="E1125" s="13">
        <f>IF(OR(C1125="",D1125=""),"",ABS(C1125-D1125))</f>
        <v/>
      </c>
      <c r="F1125" s="11" t="inlineStr">
        <is>
          <t>CGY</t>
        </is>
      </c>
      <c r="G1125" s="12" t="n">
        <v>-162</v>
      </c>
      <c r="H1125" s="14">
        <f>IF(OR(F1125="",G1125="",AND(I1125&lt;&gt;"W",I1125&lt;&gt;"L")),"",IF(I1125="W",IF(G1125&gt;0,G1125/100,1),IF(G1125&lt;0,G1125/100,-1)))</f>
        <v/>
      </c>
      <c r="I1125" s="11" t="inlineStr">
        <is>
          <t>W</t>
        </is>
      </c>
      <c r="J1125" s="10" t="inlineStr">
        <is>
          <t>VAN 3, CGY 7</t>
        </is>
      </c>
      <c r="K1125" s="10" t="inlineStr">
        <is>
          <t>DraftKings closing</t>
        </is>
      </c>
    </row>
    <row r="1126">
      <c r="A1126" s="9" t="n">
        <v>46109</v>
      </c>
      <c r="B1126" s="10" t="inlineStr">
        <is>
          <t>WSH @ VGK</t>
        </is>
      </c>
      <c r="C1126" s="13" t="n">
        <v>64.43000000000001</v>
      </c>
      <c r="D1126" s="13" t="n">
        <v>61.79</v>
      </c>
      <c r="E1126" s="13">
        <f>IF(OR(C1126="",D1126=""),"",ABS(C1126-D1126))</f>
        <v/>
      </c>
      <c r="F1126" s="11" t="inlineStr">
        <is>
          <t>WSH</t>
        </is>
      </c>
      <c r="G1126" s="12" t="n">
        <v>130</v>
      </c>
      <c r="H1126" s="14">
        <f>IF(OR(F1126="",G1126="",AND(I1126&lt;&gt;"W",I1126&lt;&gt;"L")),"",IF(I1126="W",IF(G1126&gt;0,G1126/100,1),IF(G1126&lt;0,G1126/100,-1)))</f>
        <v/>
      </c>
      <c r="I1126" s="11" t="inlineStr">
        <is>
          <t>W</t>
        </is>
      </c>
      <c r="J1126" s="10" t="inlineStr">
        <is>
          <t>WSH 5, VGK 4</t>
        </is>
      </c>
      <c r="K1126" s="10" t="inlineStr">
        <is>
          <t>DraftKings closing</t>
        </is>
      </c>
    </row>
    <row r="1127">
      <c r="A1127" s="9" t="n">
        <v>46110</v>
      </c>
      <c r="B1127" s="10" t="inlineStr">
        <is>
          <t>FLA @ NYR</t>
        </is>
      </c>
      <c r="C1127" s="13" t="n">
        <v>51.19</v>
      </c>
      <c r="D1127" s="13" t="n">
        <v>93.39</v>
      </c>
      <c r="E1127" s="13">
        <f>IF(OR(C1127="",D1127=""),"",ABS(C1127-D1127))</f>
        <v/>
      </c>
      <c r="F1127" s="11" t="inlineStr">
        <is>
          <t>NYR</t>
        </is>
      </c>
      <c r="G1127" s="12" t="n">
        <v>-185</v>
      </c>
      <c r="H1127" s="14">
        <f>IF(OR(F1127="",G1127="",AND(I1127&lt;&gt;"W",I1127&lt;&gt;"L")),"",IF(I1127="W",IF(G1127&gt;0,G1127/100,1),IF(G1127&lt;0,G1127/100,-1)))</f>
        <v/>
      </c>
      <c r="I1127" s="11" t="inlineStr">
        <is>
          <t>W</t>
        </is>
      </c>
      <c r="J1127" s="10" t="inlineStr">
        <is>
          <t>FLA 1, NYR 3</t>
        </is>
      </c>
      <c r="K1127" s="10" t="inlineStr">
        <is>
          <t>DraftKings closing</t>
        </is>
      </c>
    </row>
    <row r="1128">
      <c r="A1128" s="9" t="n">
        <v>46110</v>
      </c>
      <c r="B1128" s="10" t="inlineStr">
        <is>
          <t>NSH @ TBL</t>
        </is>
      </c>
      <c r="C1128" s="13" t="n">
        <v>54.7</v>
      </c>
      <c r="D1128" s="13" t="n">
        <v>80.3</v>
      </c>
      <c r="E1128" s="13">
        <f>IF(OR(C1128="",D1128=""),"",ABS(C1128-D1128))</f>
        <v/>
      </c>
      <c r="F1128" s="11" t="inlineStr">
        <is>
          <t>TBL</t>
        </is>
      </c>
      <c r="G1128" s="12" t="n">
        <v>-185</v>
      </c>
      <c r="H1128" s="14">
        <f>IF(OR(F1128="",G1128="",AND(I1128&lt;&gt;"W",I1128&lt;&gt;"L")),"",IF(I1128="W",IF(G1128&gt;0,G1128/100,1),IF(G1128&lt;0,G1128/100,-1)))</f>
        <v/>
      </c>
      <c r="I1128" s="11" t="inlineStr">
        <is>
          <t>W</t>
        </is>
      </c>
      <c r="J1128" s="10" t="inlineStr">
        <is>
          <t>NSH 2, TBL 3</t>
        </is>
      </c>
      <c r="K1128" s="10" t="inlineStr">
        <is>
          <t>DraftKings closing</t>
        </is>
      </c>
    </row>
    <row r="1129">
      <c r="A1129" s="9" t="n">
        <v>46110</v>
      </c>
      <c r="B1129" s="10" t="inlineStr">
        <is>
          <t>MTL @ CAR</t>
        </is>
      </c>
      <c r="C1129" s="13" t="n">
        <v>85.3</v>
      </c>
      <c r="D1129" s="13" t="n">
        <v>89.08</v>
      </c>
      <c r="E1129" s="13">
        <f>IF(OR(C1129="",D1129=""),"",ABS(C1129-D1129))</f>
        <v/>
      </c>
      <c r="F1129" s="11" t="inlineStr">
        <is>
          <t>CAR</t>
        </is>
      </c>
      <c r="G1129" s="12" t="n">
        <v>-175</v>
      </c>
      <c r="H1129" s="14">
        <f>IF(OR(F1129="",G1129="",AND(I1129&lt;&gt;"W",I1129&lt;&gt;"L")),"",IF(I1129="W",IF(G1129&gt;0,G1129/100,1),IF(G1129&lt;0,G1129/100,-1)))</f>
        <v/>
      </c>
      <c r="I1129" s="11" t="inlineStr">
        <is>
          <t>L</t>
        </is>
      </c>
      <c r="J1129" s="10" t="inlineStr">
        <is>
          <t>MTL 3, CAR 1</t>
        </is>
      </c>
      <c r="K1129" s="10" t="inlineStr">
        <is>
          <t>DraftKings closing</t>
        </is>
      </c>
    </row>
    <row r="1130">
      <c r="A1130" s="9" t="n">
        <v>46110</v>
      </c>
      <c r="B1130" s="10" t="inlineStr">
        <is>
          <t>BOS @ CBJ</t>
        </is>
      </c>
      <c r="C1130" s="13" t="n">
        <v>76.13</v>
      </c>
      <c r="D1130" s="13" t="n">
        <v>60.22</v>
      </c>
      <c r="E1130" s="13">
        <f>IF(OR(C1130="",D1130=""),"",ABS(C1130-D1130))</f>
        <v/>
      </c>
      <c r="F1130" s="11" t="inlineStr">
        <is>
          <t>BOS</t>
        </is>
      </c>
      <c r="G1130" s="12" t="n">
        <v>136</v>
      </c>
      <c r="H1130" s="14">
        <f>IF(OR(F1130="",G1130="",AND(I1130&lt;&gt;"W",I1130&lt;&gt;"L")),"",IF(I1130="W",IF(G1130&gt;0,G1130/100,1),IF(G1130&lt;0,G1130/100,-1)))</f>
        <v/>
      </c>
      <c r="I1130" s="11" t="inlineStr">
        <is>
          <t>W</t>
        </is>
      </c>
      <c r="J1130" s="10" t="inlineStr">
        <is>
          <t>BOS 4, CBJ 3</t>
        </is>
      </c>
      <c r="K1130" s="10" t="inlineStr">
        <is>
          <t>DraftKings closing</t>
        </is>
      </c>
    </row>
    <row r="1131">
      <c r="A1131" s="9" t="n">
        <v>46110</v>
      </c>
      <c r="B1131" s="10" t="inlineStr">
        <is>
          <t>CHI @ NJD</t>
        </is>
      </c>
      <c r="C1131" s="13" t="n">
        <v>46.61</v>
      </c>
      <c r="D1131" s="13" t="n">
        <v>50.92</v>
      </c>
      <c r="E1131" s="13">
        <f>IF(OR(C1131="",D1131=""),"",ABS(C1131-D1131))</f>
        <v/>
      </c>
      <c r="F1131" s="11" t="inlineStr">
        <is>
          <t>NJD</t>
        </is>
      </c>
      <c r="G1131" s="12" t="n">
        <v>-170</v>
      </c>
      <c r="H1131" s="14">
        <f>IF(OR(F1131="",G1131="",AND(I1131&lt;&gt;"W",I1131&lt;&gt;"L")),"",IF(I1131="W",IF(G1131&gt;0,G1131/100,1),IF(G1131&lt;0,G1131/100,-1)))</f>
        <v/>
      </c>
      <c r="I1131" s="11" t="inlineStr">
        <is>
          <t>W</t>
        </is>
      </c>
      <c r="J1131" s="10" t="inlineStr">
        <is>
          <t>CHI 3, NJD 5</t>
        </is>
      </c>
      <c r="K1131" s="10" t="inlineStr">
        <is>
          <t>DraftKings closing</t>
        </is>
      </c>
    </row>
    <row r="1132">
      <c r="A1132" s="9" t="n">
        <v>46110</v>
      </c>
      <c r="B1132" s="10" t="inlineStr">
        <is>
          <t>DAL @ PHI</t>
        </is>
      </c>
      <c r="C1132" s="13" t="n">
        <v>73.89</v>
      </c>
      <c r="D1132" s="13" t="n">
        <v>74.65000000000001</v>
      </c>
      <c r="E1132" s="13">
        <f>IF(OR(C1132="",D1132=""),"",ABS(C1132-D1132))</f>
        <v/>
      </c>
      <c r="F1132" s="11" t="inlineStr">
        <is>
          <t>PHI</t>
        </is>
      </c>
      <c r="G1132" s="12" t="n">
        <v>145</v>
      </c>
      <c r="H1132" s="14">
        <f>IF(OR(F1132="",G1132="",AND(I1132&lt;&gt;"W",I1132&lt;&gt;"L")),"",IF(I1132="W",IF(G1132&gt;0,G1132/100,1),IF(G1132&lt;0,G1132/100,-1)))</f>
        <v/>
      </c>
      <c r="I1132" s="11" t="inlineStr">
        <is>
          <t>W</t>
        </is>
      </c>
      <c r="J1132" s="10" t="inlineStr">
        <is>
          <t>DAL 1, PHI 2</t>
        </is>
      </c>
      <c r="K1132" s="10" t="inlineStr">
        <is>
          <t>DraftKings closing</t>
        </is>
      </c>
    </row>
    <row r="1133">
      <c r="A1133" s="9" t="n">
        <v>46111</v>
      </c>
      <c r="B1133" s="10" t="inlineStr">
        <is>
          <t>PIT @ NYI</t>
        </is>
      </c>
      <c r="C1133" s="13" t="n">
        <v>66.11</v>
      </c>
      <c r="D1133" s="13" t="n">
        <v>88.81</v>
      </c>
      <c r="E1133" s="13">
        <f>IF(OR(C1133="",D1133=""),"",ABS(C1133-D1133))</f>
        <v/>
      </c>
      <c r="F1133" s="11" t="inlineStr">
        <is>
          <t>NYI</t>
        </is>
      </c>
      <c r="G1133" s="12" t="n">
        <v>-130</v>
      </c>
      <c r="H1133" s="14">
        <f>IF(OR(F1133="",G1133="",AND(I1133&lt;&gt;"W",I1133&lt;&gt;"L")),"",IF(I1133="W",IF(G1133&gt;0,G1133/100,1),IF(G1133&lt;0,G1133/100,-1)))</f>
        <v/>
      </c>
      <c r="I1133" s="11" t="inlineStr">
        <is>
          <t>L</t>
        </is>
      </c>
      <c r="J1133" s="10" t="inlineStr">
        <is>
          <t>PIT 8, NYI 3</t>
        </is>
      </c>
      <c r="K1133" s="10" t="inlineStr">
        <is>
          <t>DraftKings closing</t>
        </is>
      </c>
    </row>
    <row r="1134">
      <c r="A1134" s="9" t="n">
        <v>46111</v>
      </c>
      <c r="B1134" s="10" t="inlineStr">
        <is>
          <t>CGY @ COL</t>
        </is>
      </c>
      <c r="C1134" s="13" t="n">
        <v>76.29000000000001</v>
      </c>
      <c r="D1134" s="13" t="n">
        <v>70.06999999999999</v>
      </c>
      <c r="E1134" s="13">
        <f>IF(OR(C1134="",D1134=""),"",ABS(C1134-D1134))</f>
        <v/>
      </c>
      <c r="F1134" s="11" t="inlineStr">
        <is>
          <t>CGY</t>
        </is>
      </c>
      <c r="G1134" s="12" t="n">
        <v>310</v>
      </c>
      <c r="H1134" s="14">
        <f>IF(OR(F1134="",G1134="",AND(I1134&lt;&gt;"W",I1134&lt;&gt;"L")),"",IF(I1134="W",IF(G1134&gt;0,G1134/100,1),IF(G1134&lt;0,G1134/100,-1)))</f>
        <v/>
      </c>
      <c r="I1134" s="11" t="inlineStr">
        <is>
          <t>L</t>
        </is>
      </c>
      <c r="J1134" s="10" t="inlineStr">
        <is>
          <t>CGY 2, COL 9</t>
        </is>
      </c>
      <c r="K1134" s="10" t="inlineStr">
        <is>
          <t>DraftKings closing</t>
        </is>
      </c>
    </row>
    <row r="1135">
      <c r="A1135" s="9" t="n">
        <v>46111</v>
      </c>
      <c r="B1135" s="10" t="inlineStr">
        <is>
          <t>VAN @ VGK</t>
        </is>
      </c>
      <c r="C1135" s="13" t="n">
        <v>63.71</v>
      </c>
      <c r="D1135" s="13" t="n">
        <v>77.31999999999999</v>
      </c>
      <c r="E1135" s="13">
        <f>IF(OR(C1135="",D1135=""),"",ABS(C1135-D1135))</f>
        <v/>
      </c>
      <c r="F1135" s="11" t="inlineStr">
        <is>
          <t>VGK</t>
        </is>
      </c>
      <c r="G1135" s="12" t="n">
        <v>-360</v>
      </c>
      <c r="H1135" s="14">
        <f>IF(OR(F1135="",G1135="",AND(I1135&lt;&gt;"W",I1135&lt;&gt;"L")),"",IF(I1135="W",IF(G1135&gt;0,G1135/100,1),IF(G1135&lt;0,G1135/100,-1)))</f>
        <v/>
      </c>
      <c r="I1135" s="11" t="inlineStr">
        <is>
          <t>W</t>
        </is>
      </c>
      <c r="J1135" s="10" t="inlineStr">
        <is>
          <t>VAN 2, VGK 4</t>
        </is>
      </c>
      <c r="K1135" s="10" t="inlineStr">
        <is>
          <t>DraftKings closing</t>
        </is>
      </c>
    </row>
    <row r="1136">
      <c r="A1136" s="9" t="n">
        <v>46111</v>
      </c>
      <c r="B1136" s="10" t="inlineStr">
        <is>
          <t>TOR @ ANA</t>
        </is>
      </c>
      <c r="C1136" s="13" t="n">
        <v>45.41</v>
      </c>
      <c r="D1136" s="13" t="n">
        <v>68.59999999999999</v>
      </c>
      <c r="E1136" s="13">
        <f>IF(OR(C1136="",D1136=""),"",ABS(C1136-D1136))</f>
        <v/>
      </c>
      <c r="F1136" s="11" t="inlineStr">
        <is>
          <t>ANA</t>
        </is>
      </c>
      <c r="G1136" s="12" t="n">
        <v>-192</v>
      </c>
      <c r="H1136" s="14">
        <f>IF(OR(F1136="",G1136="",AND(I1136&lt;&gt;"W",I1136&lt;&gt;"L")),"",IF(I1136="W",IF(G1136&gt;0,G1136/100,1),IF(G1136&lt;0,G1136/100,-1)))</f>
        <v/>
      </c>
      <c r="I1136" s="11" t="inlineStr">
        <is>
          <t>L</t>
        </is>
      </c>
      <c r="J1136" s="10" t="inlineStr">
        <is>
          <t>TOR 5, ANA 4</t>
        </is>
      </c>
      <c r="K1136" s="10" t="inlineStr">
        <is>
          <t>DraftKings closing</t>
        </is>
      </c>
    </row>
    <row r="1137">
      <c r="A1137" s="9" t="n">
        <v>46111</v>
      </c>
      <c r="B1137" s="10" t="inlineStr">
        <is>
          <t>STL @ SJS</t>
        </is>
      </c>
      <c r="C1137" s="13" t="n">
        <v>94.59</v>
      </c>
      <c r="D1137" s="13" t="n">
        <v>79.78</v>
      </c>
      <c r="E1137" s="13">
        <f>IF(OR(C1137="",D1137=""),"",ABS(C1137-D1137))</f>
        <v/>
      </c>
      <c r="F1137" s="11" t="inlineStr">
        <is>
          <t>STL</t>
        </is>
      </c>
      <c r="G1137" s="12" t="n">
        <v>-110</v>
      </c>
      <c r="H1137" s="14">
        <f>IF(OR(F1137="",G1137="",AND(I1137&lt;&gt;"W",I1137&lt;&gt;"L")),"",IF(I1137="W",IF(G1137&gt;0,G1137/100,1),IF(G1137&lt;0,G1137/100,-1)))</f>
        <v/>
      </c>
      <c r="I1137" s="11" t="inlineStr">
        <is>
          <t>L</t>
        </is>
      </c>
      <c r="J1137" s="10" t="inlineStr">
        <is>
          <t>STL 4, SJS 5</t>
        </is>
      </c>
      <c r="K1137" s="10" t="inlineStr">
        <is>
          <t>DraftKings closing</t>
        </is>
      </c>
    </row>
    <row r="1138">
      <c r="A1138" s="9" t="n">
        <v>46112</v>
      </c>
      <c r="B1138" s="10" t="inlineStr">
        <is>
          <t>DAL @ BOS</t>
        </is>
      </c>
      <c r="C1138" s="13" t="n">
        <v>64.06999999999999</v>
      </c>
      <c r="D1138" s="13" t="n">
        <v>77.95999999999999</v>
      </c>
      <c r="E1138" s="13">
        <f>IF(OR(C1138="",D1138=""),"",ABS(C1138-D1138))</f>
        <v/>
      </c>
      <c r="F1138" s="11" t="inlineStr">
        <is>
          <t>BOS</t>
        </is>
      </c>
      <c r="G1138" s="12" t="n">
        <v>110</v>
      </c>
      <c r="H1138" s="14">
        <f>IF(OR(F1138="",G1138="",AND(I1138&lt;&gt;"W",I1138&lt;&gt;"L")),"",IF(I1138="W",IF(G1138&gt;0,G1138/100,1),IF(G1138&lt;0,G1138/100,-1)))</f>
        <v/>
      </c>
      <c r="I1138" s="11" t="inlineStr">
        <is>
          <t>W</t>
        </is>
      </c>
      <c r="J1138" s="10" t="inlineStr">
        <is>
          <t>DAL 3, BOS 6</t>
        </is>
      </c>
      <c r="K1138" s="10" t="inlineStr">
        <is>
          <t>DraftKings closing</t>
        </is>
      </c>
    </row>
    <row r="1139">
      <c r="A1139" s="9" t="n">
        <v>46112</v>
      </c>
      <c r="B1139" s="10" t="inlineStr">
        <is>
          <t>NYI @ BUF</t>
        </is>
      </c>
      <c r="C1139" s="13" t="n">
        <v>47.55</v>
      </c>
      <c r="D1139" s="13" t="n">
        <v>72.58</v>
      </c>
      <c r="E1139" s="13">
        <f>IF(OR(C1139="",D1139=""),"",ABS(C1139-D1139))</f>
        <v/>
      </c>
      <c r="F1139" s="11" t="inlineStr">
        <is>
          <t>BUF</t>
        </is>
      </c>
      <c r="G1139" s="12" t="n">
        <v>-175</v>
      </c>
      <c r="H1139" s="14">
        <f>IF(OR(F1139="",G1139="",AND(I1139&lt;&gt;"W",I1139&lt;&gt;"L")),"",IF(I1139="W",IF(G1139&gt;0,G1139/100,1),IF(G1139&lt;0,G1139/100,-1)))</f>
        <v/>
      </c>
      <c r="I1139" s="11" t="inlineStr">
        <is>
          <t>W</t>
        </is>
      </c>
      <c r="J1139" s="10" t="inlineStr">
        <is>
          <t>NYI 3, BUF 4</t>
        </is>
      </c>
      <c r="K1139" s="10" t="inlineStr">
        <is>
          <t>DraftKings closing</t>
        </is>
      </c>
    </row>
    <row r="1140">
      <c r="A1140" s="9" t="n">
        <v>46112</v>
      </c>
      <c r="B1140" s="10" t="inlineStr">
        <is>
          <t>MTL @ TBL</t>
        </is>
      </c>
      <c r="C1140" s="13" t="n">
        <v>55.53</v>
      </c>
      <c r="D1140" s="13" t="n">
        <v>75.3</v>
      </c>
      <c r="E1140" s="13">
        <f>IF(OR(C1140="",D1140=""),"",ABS(C1140-D1140))</f>
        <v/>
      </c>
      <c r="F1140" s="11" t="inlineStr">
        <is>
          <t>TBL</t>
        </is>
      </c>
      <c r="G1140" s="12" t="n">
        <v>-170</v>
      </c>
      <c r="H1140" s="14">
        <f>IF(OR(F1140="",G1140="",AND(I1140&lt;&gt;"W",I1140&lt;&gt;"L")),"",IF(I1140="W",IF(G1140&gt;0,G1140/100,1),IF(G1140&lt;0,G1140/100,-1)))</f>
        <v/>
      </c>
      <c r="I1140" s="11" t="inlineStr">
        <is>
          <t>L</t>
        </is>
      </c>
      <c r="J1140" s="10" t="inlineStr">
        <is>
          <t>MTL 4, TBL 1</t>
        </is>
      </c>
      <c r="K1140" s="10" t="inlineStr">
        <is>
          <t>DraftKings closing</t>
        </is>
      </c>
    </row>
    <row r="1141">
      <c r="A1141" s="9" t="n">
        <v>46112</v>
      </c>
      <c r="B1141" s="10" t="inlineStr">
        <is>
          <t>OTT @ FLA</t>
        </is>
      </c>
      <c r="C1141" s="13" t="n">
        <v>59.7</v>
      </c>
      <c r="D1141" s="13" t="n">
        <v>74.78</v>
      </c>
      <c r="E1141" s="13">
        <f>IF(OR(C1141="",D1141=""),"",ABS(C1141-D1141))</f>
        <v/>
      </c>
      <c r="F1141" s="11" t="inlineStr">
        <is>
          <t>FLA</t>
        </is>
      </c>
      <c r="G1141" s="12" t="n">
        <v>150</v>
      </c>
      <c r="H1141" s="14">
        <f>IF(OR(F1141="",G1141="",AND(I1141&lt;&gt;"W",I1141&lt;&gt;"L")),"",IF(I1141="W",IF(G1141&gt;0,G1141/100,1),IF(G1141&lt;0,G1141/100,-1)))</f>
        <v/>
      </c>
      <c r="I1141" s="11" t="inlineStr">
        <is>
          <t>W</t>
        </is>
      </c>
      <c r="J1141" s="10" t="inlineStr">
        <is>
          <t>OTT 3, FLA 6</t>
        </is>
      </c>
      <c r="K1141" s="10" t="inlineStr">
        <is>
          <t>DraftKings closing</t>
        </is>
      </c>
    </row>
    <row r="1142">
      <c r="A1142" s="9" t="n">
        <v>46112</v>
      </c>
      <c r="B1142" s="10" t="inlineStr">
        <is>
          <t>NJD @ NYR</t>
        </is>
      </c>
      <c r="C1142" s="13" t="n">
        <v>83.56</v>
      </c>
      <c r="D1142" s="13" t="n">
        <v>65.22</v>
      </c>
      <c r="E1142" s="13">
        <f>IF(OR(C1142="",D1142=""),"",ABS(C1142-D1142))</f>
        <v/>
      </c>
      <c r="F1142" s="11" t="inlineStr">
        <is>
          <t>NJD</t>
        </is>
      </c>
      <c r="G1142" s="12" t="n">
        <v>-125</v>
      </c>
      <c r="H1142" s="14">
        <f>IF(OR(F1142="",G1142="",AND(I1142&lt;&gt;"W",I1142&lt;&gt;"L")),"",IF(I1142="W",IF(G1142&gt;0,G1142/100,1),IF(G1142&lt;0,G1142/100,-1)))</f>
        <v/>
      </c>
      <c r="I1142" s="11" t="inlineStr">
        <is>
          <t>L</t>
        </is>
      </c>
      <c r="J1142" s="10" t="inlineStr">
        <is>
          <t>NJD 1, NYR 4</t>
        </is>
      </c>
      <c r="K1142" s="10" t="inlineStr">
        <is>
          <t>DraftKings closing</t>
        </is>
      </c>
    </row>
    <row r="1143">
      <c r="A1143" s="9" t="n">
        <v>46112</v>
      </c>
      <c r="B1143" s="10" t="inlineStr">
        <is>
          <t>DET @ PIT</t>
        </is>
      </c>
      <c r="C1143" s="13" t="n">
        <v>65.34999999999999</v>
      </c>
      <c r="D1143" s="13" t="n">
        <v>92.45</v>
      </c>
      <c r="E1143" s="13">
        <f>IF(OR(C1143="",D1143=""),"",ABS(C1143-D1143))</f>
        <v/>
      </c>
      <c r="F1143" s="11" t="inlineStr">
        <is>
          <t>PIT</t>
        </is>
      </c>
      <c r="G1143" s="12" t="n">
        <v>-112</v>
      </c>
      <c r="H1143" s="14">
        <f>IF(OR(F1143="",G1143="",AND(I1143&lt;&gt;"W",I1143&lt;&gt;"L")),"",IF(I1143="W",IF(G1143&gt;0,G1143/100,1),IF(G1143&lt;0,G1143/100,-1)))</f>
        <v/>
      </c>
      <c r="I1143" s="11" t="inlineStr">
        <is>
          <t>W</t>
        </is>
      </c>
      <c r="J1143" s="10" t="inlineStr">
        <is>
          <t>DET 1, PIT 5</t>
        </is>
      </c>
      <c r="K1143" s="10" t="inlineStr">
        <is>
          <t>DraftKings closing</t>
        </is>
      </c>
    </row>
    <row r="1144">
      <c r="A1144" s="9" t="n">
        <v>46112</v>
      </c>
      <c r="B1144" s="10" t="inlineStr">
        <is>
          <t>PHI @ WSH</t>
        </is>
      </c>
      <c r="C1144" s="13" t="n">
        <v>75.93000000000001</v>
      </c>
      <c r="D1144" s="13" t="n">
        <v>62.68</v>
      </c>
      <c r="E1144" s="13">
        <f>IF(OR(C1144="",D1144=""),"",ABS(C1144-D1144))</f>
        <v/>
      </c>
      <c r="F1144" s="11" t="inlineStr">
        <is>
          <t>PHI</t>
        </is>
      </c>
      <c r="G1144" s="12" t="n">
        <v>105</v>
      </c>
      <c r="H1144" s="14">
        <f>IF(OR(F1144="",G1144="",AND(I1144&lt;&gt;"W",I1144&lt;&gt;"L")),"",IF(I1144="W",IF(G1144&gt;0,G1144/100,1),IF(G1144&lt;0,G1144/100,-1)))</f>
        <v/>
      </c>
      <c r="I1144" s="11" t="inlineStr">
        <is>
          <t>L</t>
        </is>
      </c>
      <c r="J1144" s="10" t="inlineStr">
        <is>
          <t>PHI 4, WSH 6</t>
        </is>
      </c>
      <c r="K1144" s="10" t="inlineStr">
        <is>
          <t>DraftKings closing</t>
        </is>
      </c>
    </row>
    <row r="1145">
      <c r="A1145" s="9" t="n">
        <v>46112</v>
      </c>
      <c r="B1145" s="10" t="inlineStr">
        <is>
          <t>CAR @ CBJ</t>
        </is>
      </c>
      <c r="C1145" s="13" t="n">
        <v>84.47</v>
      </c>
      <c r="D1145" s="13" t="n">
        <v>62.04</v>
      </c>
      <c r="E1145" s="13">
        <f>IF(OR(C1145="",D1145=""),"",ABS(C1145-D1145))</f>
        <v/>
      </c>
      <c r="F1145" s="11" t="inlineStr">
        <is>
          <t>CAR</t>
        </is>
      </c>
      <c r="G1145" s="12" t="n">
        <v>-130</v>
      </c>
      <c r="H1145" s="14">
        <f>IF(OR(F1145="",G1145="",AND(I1145&lt;&gt;"W",I1145&lt;&gt;"L")),"",IF(I1145="W",IF(G1145&gt;0,G1145/100,1),IF(G1145&lt;0,G1145/100,-1)))</f>
        <v/>
      </c>
      <c r="I1145" s="11" t="inlineStr">
        <is>
          <t>W</t>
        </is>
      </c>
      <c r="J1145" s="10" t="inlineStr">
        <is>
          <t>CAR 5, CBJ 2</t>
        </is>
      </c>
      <c r="K1145" s="10" t="inlineStr">
        <is>
          <t>DraftKings closing</t>
        </is>
      </c>
    </row>
    <row r="1146">
      <c r="A1146" s="9" t="n">
        <v>46112</v>
      </c>
      <c r="B1146" s="10" t="inlineStr">
        <is>
          <t>WPG @ CHI</t>
        </is>
      </c>
      <c r="C1146" s="13" t="n">
        <v>69.93000000000001</v>
      </c>
      <c r="D1146" s="13" t="n">
        <v>56.44</v>
      </c>
      <c r="E1146" s="13">
        <f>IF(OR(C1146="",D1146=""),"",ABS(C1146-D1146))</f>
        <v/>
      </c>
      <c r="F1146" s="11" t="inlineStr">
        <is>
          <t>WPG</t>
        </is>
      </c>
      <c r="G1146" s="12" t="n">
        <v>-155</v>
      </c>
      <c r="H1146" s="14">
        <f>IF(OR(F1146="",G1146="",AND(I1146&lt;&gt;"W",I1146&lt;&gt;"L")),"",IF(I1146="W",IF(G1146&gt;0,G1146/100,1),IF(G1146&lt;0,G1146/100,-1)))</f>
        <v/>
      </c>
      <c r="I1146" s="11" t="inlineStr">
        <is>
          <t>W</t>
        </is>
      </c>
      <c r="J1146" s="10" t="inlineStr">
        <is>
          <t>WPG 4, CHI 3</t>
        </is>
      </c>
      <c r="K1146" s="10" t="inlineStr">
        <is>
          <t>DraftKings closing</t>
        </is>
      </c>
    </row>
    <row r="1147">
      <c r="A1147" s="9" t="n">
        <v>46112</v>
      </c>
      <c r="B1147" s="10" t="inlineStr">
        <is>
          <t>SEA @ EDM</t>
        </is>
      </c>
      <c r="C1147" s="13" t="n">
        <v>67.42</v>
      </c>
      <c r="D1147" s="13" t="n">
        <v>71.40000000000001</v>
      </c>
      <c r="E1147" s="13">
        <f>IF(OR(C1147="",D1147=""),"",ABS(C1147-D1147))</f>
        <v/>
      </c>
      <c r="F1147" s="11" t="inlineStr">
        <is>
          <t>EDM</t>
        </is>
      </c>
      <c r="G1147" s="12" t="n">
        <v>-185</v>
      </c>
      <c r="H1147" s="14">
        <f>IF(OR(F1147="",G1147="",AND(I1147&lt;&gt;"W",I1147&lt;&gt;"L")),"",IF(I1147="W",IF(G1147&gt;0,G1147/100,1),IF(G1147&lt;0,G1147/100,-1)))</f>
        <v/>
      </c>
      <c r="I1147" s="11" t="inlineStr">
        <is>
          <t>W</t>
        </is>
      </c>
      <c r="J1147" s="10" t="inlineStr">
        <is>
          <t>SEA 0, EDM 3</t>
        </is>
      </c>
      <c r="K1147" s="10" t="inlineStr">
        <is>
          <t>DraftKings closing</t>
        </is>
      </c>
    </row>
    <row r="1148">
      <c r="A1148" s="9" t="n">
        <v>46113</v>
      </c>
      <c r="B1148" s="10" t="inlineStr">
        <is>
          <t>VAN @ COL</t>
        </is>
      </c>
      <c r="C1148" s="13" t="n">
        <v>53.84</v>
      </c>
      <c r="D1148" s="13" t="n">
        <v>100</v>
      </c>
      <c r="E1148" s="13">
        <f>IF(OR(C1148="",D1148=""),"",ABS(C1148-D1148))</f>
        <v/>
      </c>
      <c r="F1148" s="11" t="inlineStr">
        <is>
          <t>COL</t>
        </is>
      </c>
      <c r="G1148" s="12" t="n">
        <v>-470</v>
      </c>
      <c r="H1148" s="14">
        <f>IF(OR(F1148="",G1148="",AND(I1148&lt;&gt;"W",I1148&lt;&gt;"L")),"",IF(I1148="W",IF(G1148&gt;0,G1148/100,1),IF(G1148&lt;0,G1148/100,-1)))</f>
        <v/>
      </c>
      <c r="I1148" s="11" t="inlineStr">
        <is>
          <t>L</t>
        </is>
      </c>
      <c r="J1148" s="10" t="inlineStr">
        <is>
          <t>VAN 8, COL 6</t>
        </is>
      </c>
      <c r="K1148" s="10" t="inlineStr">
        <is>
          <t>DraftKings closing</t>
        </is>
      </c>
    </row>
    <row r="1149">
      <c r="A1149" s="9" t="n">
        <v>46113</v>
      </c>
      <c r="B1149" s="10" t="inlineStr">
        <is>
          <t>STL @ LAK</t>
        </is>
      </c>
      <c r="C1149" s="13" t="n">
        <v>64.62</v>
      </c>
      <c r="D1149" s="13" t="n">
        <v>56.95</v>
      </c>
      <c r="E1149" s="13">
        <f>IF(OR(C1149="",D1149=""),"",ABS(C1149-D1149))</f>
        <v/>
      </c>
      <c r="F1149" s="11" t="inlineStr">
        <is>
          <t>STL</t>
        </is>
      </c>
      <c r="G1149" s="12" t="n">
        <v>130</v>
      </c>
      <c r="H1149" s="14">
        <f>IF(OR(F1149="",G1149="",AND(I1149&lt;&gt;"W",I1149&lt;&gt;"L")),"",IF(I1149="W",IF(G1149&gt;0,G1149/100,1),IF(G1149&lt;0,G1149/100,-1)))</f>
        <v/>
      </c>
      <c r="I1149" s="11" t="inlineStr">
        <is>
          <t>L</t>
        </is>
      </c>
      <c r="J1149" s="10" t="inlineStr">
        <is>
          <t>STL 1, LAK 2</t>
        </is>
      </c>
      <c r="K1149" s="10" t="inlineStr">
        <is>
          <t>DraftKings closing</t>
        </is>
      </c>
    </row>
    <row r="1150">
      <c r="A1150" s="9" t="n">
        <v>46113</v>
      </c>
      <c r="B1150" s="10" t="inlineStr">
        <is>
          <t>ANA @ SJS</t>
        </is>
      </c>
      <c r="C1150" s="13" t="n">
        <v>73.09</v>
      </c>
      <c r="D1150" s="13" t="n">
        <v>75.38</v>
      </c>
      <c r="E1150" s="13">
        <f>IF(OR(C1150="",D1150=""),"",ABS(C1150-D1150))</f>
        <v/>
      </c>
      <c r="F1150" s="11" t="inlineStr">
        <is>
          <t>SJS</t>
        </is>
      </c>
      <c r="G1150" s="12" t="n">
        <v>-108</v>
      </c>
      <c r="H1150" s="14">
        <f>IF(OR(F1150="",G1150="",AND(I1150&lt;&gt;"W",I1150&lt;&gt;"L")),"",IF(I1150="W",IF(G1150&gt;0,G1150/100,1),IF(G1150&lt;0,G1150/100,-1)))</f>
        <v/>
      </c>
      <c r="I1150" s="11" t="inlineStr">
        <is>
          <t>W</t>
        </is>
      </c>
      <c r="J1150" s="10" t="inlineStr">
        <is>
          <t>ANA 3, SJS 4</t>
        </is>
      </c>
      <c r="K1150" s="10" t="inlineStr">
        <is>
          <t>DraftKings closing</t>
        </is>
      </c>
    </row>
    <row r="1151">
      <c r="A1151" s="9" t="n">
        <v>46114</v>
      </c>
      <c r="B1151" s="10" t="inlineStr">
        <is>
          <t>BUF @ OTT</t>
        </is>
      </c>
      <c r="C1151" s="13" t="n">
        <v>78.59999999999999</v>
      </c>
      <c r="D1151" s="13" t="n">
        <v>54.13</v>
      </c>
      <c r="E1151" s="13">
        <f>IF(OR(C1151="",D1151=""),"",ABS(C1151-D1151))</f>
        <v/>
      </c>
      <c r="F1151" s="11" t="inlineStr">
        <is>
          <t>BUF</t>
        </is>
      </c>
      <c r="G1151" s="12" t="n">
        <v>100</v>
      </c>
      <c r="H1151" s="14">
        <f>IF(OR(F1151="",G1151="",AND(I1151&lt;&gt;"W",I1151&lt;&gt;"L")),"",IF(I1151="W",IF(G1151&gt;0,G1151/100,1),IF(G1151&lt;0,G1151/100,-1)))</f>
        <v/>
      </c>
      <c r="I1151" s="11" t="inlineStr">
        <is>
          <t>L</t>
        </is>
      </c>
      <c r="J1151" s="10" t="inlineStr">
        <is>
          <t>BUF 1, OTT 4</t>
        </is>
      </c>
      <c r="K1151" s="10" t="inlineStr">
        <is>
          <t>DraftKings closing</t>
        </is>
      </c>
    </row>
    <row r="1152">
      <c r="A1152" s="9" t="n">
        <v>46114</v>
      </c>
      <c r="B1152" s="10" t="inlineStr">
        <is>
          <t>PIT @ TBL</t>
        </is>
      </c>
      <c r="C1152" s="13" t="n">
        <v>86.18000000000001</v>
      </c>
      <c r="D1152" s="13" t="n">
        <v>71.95</v>
      </c>
      <c r="E1152" s="13">
        <f>IF(OR(C1152="",D1152=""),"",ABS(C1152-D1152))</f>
        <v/>
      </c>
      <c r="F1152" s="11" t="inlineStr">
        <is>
          <t>PIT</t>
        </is>
      </c>
      <c r="G1152" s="12" t="n">
        <v>136</v>
      </c>
      <c r="H1152" s="14">
        <f>IF(OR(F1152="",G1152="",AND(I1152&lt;&gt;"W",I1152&lt;&gt;"L")),"",IF(I1152="W",IF(G1152&gt;0,G1152/100,1),IF(G1152&lt;0,G1152/100,-1)))</f>
        <v/>
      </c>
      <c r="I1152" s="11" t="inlineStr">
        <is>
          <t>L</t>
        </is>
      </c>
      <c r="J1152" s="10" t="inlineStr">
        <is>
          <t>PIT 3, TBL 6</t>
        </is>
      </c>
      <c r="K1152" s="10" t="inlineStr">
        <is>
          <t>DraftKings closing</t>
        </is>
      </c>
    </row>
    <row r="1153">
      <c r="A1153" s="9" t="n">
        <v>46114</v>
      </c>
      <c r="B1153" s="10" t="inlineStr">
        <is>
          <t>BOS @ FLA</t>
        </is>
      </c>
      <c r="C1153" s="13" t="n">
        <v>77.01000000000001</v>
      </c>
      <c r="D1153" s="13" t="n">
        <v>85.87</v>
      </c>
      <c r="E1153" s="13">
        <f>IF(OR(C1153="",D1153=""),"",ABS(C1153-D1153))</f>
        <v/>
      </c>
      <c r="F1153" s="11" t="inlineStr">
        <is>
          <t>FLA</t>
        </is>
      </c>
      <c r="G1153" s="12" t="n">
        <v>136</v>
      </c>
      <c r="H1153" s="14">
        <f>IF(OR(F1153="",G1153="",AND(I1153&lt;&gt;"W",I1153&lt;&gt;"L")),"",IF(I1153="W",IF(G1153&gt;0,G1153/100,1),IF(G1153&lt;0,G1153/100,-1)))</f>
        <v/>
      </c>
      <c r="I1153" s="11" t="inlineStr">
        <is>
          <t>W</t>
        </is>
      </c>
      <c r="J1153" s="10" t="inlineStr">
        <is>
          <t>BOS 1, FLA 2</t>
        </is>
      </c>
      <c r="K1153" s="10" t="inlineStr">
        <is>
          <t>DraftKings closing</t>
        </is>
      </c>
    </row>
    <row r="1154">
      <c r="A1154" s="9" t="n">
        <v>46114</v>
      </c>
      <c r="B1154" s="10" t="inlineStr">
        <is>
          <t>MTL @ NYR</t>
        </is>
      </c>
      <c r="C1154" s="13" t="n">
        <v>68.05</v>
      </c>
      <c r="D1154" s="13" t="n">
        <v>78.83</v>
      </c>
      <c r="E1154" s="13">
        <f>IF(OR(C1154="",D1154=""),"",ABS(C1154-D1154))</f>
        <v/>
      </c>
      <c r="F1154" s="11" t="inlineStr">
        <is>
          <t>NYR</t>
        </is>
      </c>
      <c r="G1154" s="12" t="n">
        <v>105</v>
      </c>
      <c r="H1154" s="14">
        <f>IF(OR(F1154="",G1154="",AND(I1154&lt;&gt;"W",I1154&lt;&gt;"L")),"",IF(I1154="W",IF(G1154&gt;0,G1154/100,1),IF(G1154&lt;0,G1154/100,-1)))</f>
        <v/>
      </c>
      <c r="I1154" s="11" t="inlineStr">
        <is>
          <t>L</t>
        </is>
      </c>
      <c r="J1154" s="10" t="inlineStr">
        <is>
          <t>MTL 3, NYR 2</t>
        </is>
      </c>
      <c r="K1154" s="10" t="inlineStr">
        <is>
          <t>DraftKings closing</t>
        </is>
      </c>
    </row>
    <row r="1155">
      <c r="A1155" s="9" t="n">
        <v>46114</v>
      </c>
      <c r="B1155" s="10" t="inlineStr">
        <is>
          <t>DET @ PHI</t>
        </is>
      </c>
      <c r="C1155" s="13" t="n">
        <v>53.82</v>
      </c>
      <c r="D1155" s="13" t="n">
        <v>74.65000000000001</v>
      </c>
      <c r="E1155" s="13">
        <f>IF(OR(C1155="",D1155=""),"",ABS(C1155-D1155))</f>
        <v/>
      </c>
      <c r="F1155" s="11" t="inlineStr">
        <is>
          <t>PHI</t>
        </is>
      </c>
      <c r="G1155" s="12" t="n">
        <v>-108</v>
      </c>
      <c r="H1155" s="14">
        <f>IF(OR(F1155="",G1155="",AND(I1155&lt;&gt;"W",I1155&lt;&gt;"L")),"",IF(I1155="W",IF(G1155&gt;0,G1155/100,1),IF(G1155&lt;0,G1155/100,-1)))</f>
        <v/>
      </c>
      <c r="I1155" s="11" t="inlineStr">
        <is>
          <t>L</t>
        </is>
      </c>
      <c r="J1155" s="10" t="inlineStr">
        <is>
          <t>DET 4, PHI 2</t>
        </is>
      </c>
      <c r="K1155" s="10" t="inlineStr">
        <is>
          <t>DraftKings closing</t>
        </is>
      </c>
    </row>
    <row r="1156">
      <c r="A1156" s="9" t="n">
        <v>46114</v>
      </c>
      <c r="B1156" s="10" t="inlineStr">
        <is>
          <t>CBJ @ CAR</t>
        </is>
      </c>
      <c r="C1156" s="13" t="n">
        <v>55.27</v>
      </c>
      <c r="D1156" s="13" t="n">
        <v>84.73</v>
      </c>
      <c r="E1156" s="13">
        <f>IF(OR(C1156="",D1156=""),"",ABS(C1156-D1156))</f>
        <v/>
      </c>
      <c r="F1156" s="11" t="inlineStr">
        <is>
          <t>CAR</t>
        </is>
      </c>
      <c r="G1156" s="12" t="n">
        <v>-198</v>
      </c>
      <c r="H1156" s="14">
        <f>IF(OR(F1156="",G1156="",AND(I1156&lt;&gt;"W",I1156&lt;&gt;"L")),"",IF(I1156="W",IF(G1156&gt;0,G1156/100,1),IF(G1156&lt;0,G1156/100,-1)))</f>
        <v/>
      </c>
      <c r="I1156" s="11" t="inlineStr">
        <is>
          <t>W</t>
        </is>
      </c>
      <c r="J1156" s="10" t="inlineStr">
        <is>
          <t>CBJ 1, CAR 5</t>
        </is>
      </c>
      <c r="K1156" s="10" t="inlineStr">
        <is>
          <t>DraftKings closing</t>
        </is>
      </c>
    </row>
    <row r="1157">
      <c r="A1157" s="9" t="n">
        <v>46114</v>
      </c>
      <c r="B1157" s="10" t="inlineStr">
        <is>
          <t>WSH @ NJD</t>
        </is>
      </c>
      <c r="C1157" s="13" t="n">
        <v>65.34999999999999</v>
      </c>
      <c r="D1157" s="13" t="n">
        <v>61.17</v>
      </c>
      <c r="E1157" s="13">
        <f>IF(OR(C1157="",D1157=""),"",ABS(C1157-D1157))</f>
        <v/>
      </c>
      <c r="F1157" s="11" t="inlineStr">
        <is>
          <t>WSH</t>
        </is>
      </c>
      <c r="G1157" s="12" t="n">
        <v>100</v>
      </c>
      <c r="H1157" s="14">
        <f>IF(OR(F1157="",G1157="",AND(I1157&lt;&gt;"W",I1157&lt;&gt;"L")),"",IF(I1157="W",IF(G1157&gt;0,G1157/100,1),IF(G1157&lt;0,G1157/100,-1)))</f>
        <v/>
      </c>
      <c r="I1157" s="11" t="inlineStr">
        <is>
          <t>L</t>
        </is>
      </c>
      <c r="J1157" s="10" t="inlineStr">
        <is>
          <t>WSH 3, NJD 7</t>
        </is>
      </c>
      <c r="K1157" s="10" t="inlineStr">
        <is>
          <t>DraftKings closing</t>
        </is>
      </c>
    </row>
    <row r="1158">
      <c r="A1158" s="9" t="n">
        <v>46114</v>
      </c>
      <c r="B1158" s="10" t="inlineStr">
        <is>
          <t>WPG @ DAL</t>
        </is>
      </c>
      <c r="C1158" s="13" t="n">
        <v>76.56999999999999</v>
      </c>
      <c r="D1158" s="13" t="n">
        <v>62.99</v>
      </c>
      <c r="E1158" s="13">
        <f>IF(OR(C1158="",D1158=""),"",ABS(C1158-D1158))</f>
        <v/>
      </c>
      <c r="F1158" s="11" t="inlineStr">
        <is>
          <t>WPG</t>
        </is>
      </c>
      <c r="G1158" s="12" t="n">
        <v>130</v>
      </c>
      <c r="H1158" s="14">
        <f>IF(OR(F1158="",G1158="",AND(I1158&lt;&gt;"W",I1158&lt;&gt;"L")),"",IF(I1158="W",IF(G1158&gt;0,G1158/100,1),IF(G1158&lt;0,G1158/100,-1)))</f>
        <v/>
      </c>
      <c r="I1158" s="11" t="inlineStr">
        <is>
          <t>L</t>
        </is>
      </c>
      <c r="J1158" s="10" t="inlineStr">
        <is>
          <t>WPG 0, DAL 3</t>
        </is>
      </c>
      <c r="K1158" s="10" t="inlineStr">
        <is>
          <t>DraftKings closing</t>
        </is>
      </c>
    </row>
    <row r="1159">
      <c r="A1159" s="9" t="n">
        <v>46114</v>
      </c>
      <c r="B1159" s="10" t="inlineStr">
        <is>
          <t>VAN @ MIN</t>
        </is>
      </c>
      <c r="C1159" s="13" t="n">
        <v>73.20999999999999</v>
      </c>
      <c r="D1159" s="13" t="n">
        <v>63.87</v>
      </c>
      <c r="E1159" s="13">
        <f>IF(OR(C1159="",D1159=""),"",ABS(C1159-D1159))</f>
        <v/>
      </c>
      <c r="F1159" s="11" t="inlineStr">
        <is>
          <t>VAN</t>
        </is>
      </c>
      <c r="G1159" s="12" t="n">
        <v>330</v>
      </c>
      <c r="H1159" s="14">
        <f>IF(OR(F1159="",G1159="",AND(I1159&lt;&gt;"W",I1159&lt;&gt;"L")),"",IF(I1159="W",IF(G1159&gt;0,G1159/100,1),IF(G1159&lt;0,G1159/100,-1)))</f>
        <v/>
      </c>
      <c r="I1159" s="11" t="inlineStr">
        <is>
          <t>L</t>
        </is>
      </c>
      <c r="J1159" s="10" t="inlineStr">
        <is>
          <t>VAN 2, MIN 5</t>
        </is>
      </c>
      <c r="K1159" s="10" t="inlineStr">
        <is>
          <t>DraftKings closing</t>
        </is>
      </c>
    </row>
    <row r="1160">
      <c r="A1160" s="9" t="n">
        <v>46114</v>
      </c>
      <c r="B1160" s="10" t="inlineStr">
        <is>
          <t>CHI @ EDM</t>
        </is>
      </c>
      <c r="C1160" s="13" t="n">
        <v>63.43</v>
      </c>
      <c r="D1160" s="13" t="n">
        <v>74.45999999999999</v>
      </c>
      <c r="E1160" s="13">
        <f>IF(OR(C1160="",D1160=""),"",ABS(C1160-D1160))</f>
        <v/>
      </c>
      <c r="F1160" s="11" t="inlineStr">
        <is>
          <t>EDM</t>
        </is>
      </c>
      <c r="G1160" s="12" t="n">
        <v>-230</v>
      </c>
      <c r="H1160" s="14">
        <f>IF(OR(F1160="",G1160="",AND(I1160&lt;&gt;"W",I1160&lt;&gt;"L")),"",IF(I1160="W",IF(G1160&gt;0,G1160/100,1),IF(G1160&lt;0,G1160/100,-1)))</f>
        <v/>
      </c>
      <c r="I1160" s="11" t="inlineStr">
        <is>
          <t>W</t>
        </is>
      </c>
      <c r="J1160" s="10" t="inlineStr">
        <is>
          <t>CHI 1, EDM 3</t>
        </is>
      </c>
      <c r="K1160" s="10" t="inlineStr">
        <is>
          <t>DraftKings closing</t>
        </is>
      </c>
    </row>
    <row r="1161">
      <c r="A1161" s="9" t="n">
        <v>46114</v>
      </c>
      <c r="B1161" s="10" t="inlineStr">
        <is>
          <t>CGY @ VGK</t>
        </is>
      </c>
      <c r="C1161" s="13" t="n">
        <v>34.16</v>
      </c>
      <c r="D1161" s="13" t="n">
        <v>86.16</v>
      </c>
      <c r="E1161" s="13">
        <f>IF(OR(C1161="",D1161=""),"",ABS(C1161-D1161))</f>
        <v/>
      </c>
      <c r="F1161" s="11" t="inlineStr">
        <is>
          <t>VGK</t>
        </is>
      </c>
      <c r="G1161" s="12" t="n">
        <v>-238</v>
      </c>
      <c r="H1161" s="14">
        <f>IF(OR(F1161="",G1161="",AND(I1161&lt;&gt;"W",I1161&lt;&gt;"L")),"",IF(I1161="W",IF(G1161&gt;0,G1161/100,1),IF(G1161&lt;0,G1161/100,-1)))</f>
        <v/>
      </c>
      <c r="I1161" s="11" t="inlineStr">
        <is>
          <t>W</t>
        </is>
      </c>
      <c r="J1161" s="10" t="inlineStr">
        <is>
          <t>CGY 3, VGK 6</t>
        </is>
      </c>
      <c r="K1161" s="10" t="inlineStr">
        <is>
          <t>DraftKings closing</t>
        </is>
      </c>
    </row>
    <row r="1162">
      <c r="A1162" s="9" t="n">
        <v>46114</v>
      </c>
      <c r="B1162" s="10" t="inlineStr">
        <is>
          <t>TOR @ SJS</t>
        </is>
      </c>
      <c r="C1162" s="13" t="n">
        <v>66.91</v>
      </c>
      <c r="D1162" s="13" t="n">
        <v>70.44</v>
      </c>
      <c r="E1162" s="13">
        <f>IF(OR(C1162="",D1162=""),"",ABS(C1162-D1162))</f>
        <v/>
      </c>
      <c r="F1162" s="11" t="inlineStr">
        <is>
          <t>SJS</t>
        </is>
      </c>
      <c r="G1162" s="12" t="n">
        <v>-135</v>
      </c>
      <c r="H1162" s="14">
        <f>IF(OR(F1162="",G1162="",AND(I1162&lt;&gt;"W",I1162&lt;&gt;"L")),"",IF(I1162="W",IF(G1162&gt;0,G1162/100,1),IF(G1162&lt;0,G1162/100,-1)))</f>
        <v/>
      </c>
      <c r="I1162" s="11" t="inlineStr">
        <is>
          <t>W</t>
        </is>
      </c>
      <c r="J1162" s="10" t="inlineStr">
        <is>
          <t>TOR 1, SJS 4</t>
        </is>
      </c>
      <c r="K1162" s="10" t="inlineStr">
        <is>
          <t>DraftKings closing</t>
        </is>
      </c>
    </row>
    <row r="1163">
      <c r="A1163" s="9" t="n">
        <v>46114</v>
      </c>
      <c r="B1163" s="10" t="inlineStr">
        <is>
          <t>UTA @ SEA</t>
        </is>
      </c>
      <c r="C1163" s="13" t="n">
        <v>83.05</v>
      </c>
      <c r="D1163" s="13" t="n">
        <v>65.54000000000001</v>
      </c>
      <c r="E1163" s="13">
        <f>IF(OR(C1163="",D1163=""),"",ABS(C1163-D1163))</f>
        <v/>
      </c>
      <c r="F1163" s="11" t="inlineStr">
        <is>
          <t>UTA</t>
        </is>
      </c>
      <c r="G1163" s="12" t="n">
        <v>-142</v>
      </c>
      <c r="H1163" s="14">
        <f>IF(OR(F1163="",G1163="",AND(I1163&lt;&gt;"W",I1163&lt;&gt;"L")),"",IF(I1163="W",IF(G1163&gt;0,G1163/100,1),IF(G1163&lt;0,G1163/100,-1)))</f>
        <v/>
      </c>
      <c r="I1163" s="11" t="inlineStr">
        <is>
          <t>W</t>
        </is>
      </c>
      <c r="J1163" s="10" t="inlineStr">
        <is>
          <t>UTA 6, SEA 2</t>
        </is>
      </c>
      <c r="K1163" s="10" t="inlineStr">
        <is>
          <t>DraftKings closing</t>
        </is>
      </c>
    </row>
    <row r="1164">
      <c r="A1164" s="9" t="n">
        <v>46114</v>
      </c>
      <c r="B1164" s="10" t="inlineStr">
        <is>
          <t>NSH @ LAK</t>
        </is>
      </c>
      <c r="C1164" s="13" t="n">
        <v>64.7</v>
      </c>
      <c r="D1164" s="13" t="n">
        <v>70.68000000000001</v>
      </c>
      <c r="E1164" s="13">
        <f>IF(OR(C1164="",D1164=""),"",ABS(C1164-D1164))</f>
        <v/>
      </c>
      <c r="F1164" s="11" t="inlineStr">
        <is>
          <t>LAK</t>
        </is>
      </c>
      <c r="G1164" s="12" t="n">
        <v>-125</v>
      </c>
      <c r="H1164" s="14">
        <f>IF(OR(F1164="",G1164="",AND(I1164&lt;&gt;"W",I1164&lt;&gt;"L")),"",IF(I1164="W",IF(G1164&gt;0,G1164/100,1),IF(G1164&lt;0,G1164/100,-1)))</f>
        <v/>
      </c>
      <c r="I1164" s="11" t="inlineStr">
        <is>
          <t>L</t>
        </is>
      </c>
      <c r="J1164" s="10" t="inlineStr">
        <is>
          <t>NSH 5, LAK 4</t>
        </is>
      </c>
      <c r="K1164" s="10" t="inlineStr">
        <is>
          <t>DraftKings closing</t>
        </is>
      </c>
    </row>
    <row r="1165">
      <c r="A1165" s="9" t="n">
        <v>46115</v>
      </c>
      <c r="B1165" s="10" t="inlineStr">
        <is>
          <t>PHI @ NYI</t>
        </is>
      </c>
      <c r="C1165" s="13" t="n">
        <v>73.95999999999999</v>
      </c>
      <c r="D1165" s="13" t="n">
        <v>61.4</v>
      </c>
      <c r="E1165" s="13">
        <f>IF(OR(C1165="",D1165=""),"",ABS(C1165-D1165))</f>
        <v/>
      </c>
      <c r="F1165" s="11" t="inlineStr">
        <is>
          <t>PHI</t>
        </is>
      </c>
      <c r="G1165" s="12" t="n">
        <v>130</v>
      </c>
      <c r="H1165" s="14">
        <f>IF(OR(F1165="",G1165="",AND(I1165&lt;&gt;"W",I1165&lt;&gt;"L")),"",IF(I1165="W",IF(G1165&gt;0,G1165/100,1),IF(G1165&lt;0,G1165/100,-1)))</f>
        <v/>
      </c>
      <c r="I1165" s="11" t="inlineStr">
        <is>
          <t>W</t>
        </is>
      </c>
      <c r="J1165" s="10" t="inlineStr">
        <is>
          <t>PHI 4, NYI 1</t>
        </is>
      </c>
      <c r="K1165" s="10" t="inlineStr">
        <is>
          <t>DraftKings closing</t>
        </is>
      </c>
    </row>
    <row r="1166">
      <c r="A1166" s="9" t="n">
        <v>46115</v>
      </c>
      <c r="B1166" s="10" t="inlineStr">
        <is>
          <t>STL @ ANA</t>
        </is>
      </c>
      <c r="C1166" s="13" t="n">
        <v>69.31999999999999</v>
      </c>
      <c r="D1166" s="13" t="n">
        <v>69.56</v>
      </c>
      <c r="E1166" s="13">
        <f>IF(OR(C1166="",D1166=""),"",ABS(C1166-D1166))</f>
        <v/>
      </c>
      <c r="F1166" s="11" t="inlineStr">
        <is>
          <t>ANA</t>
        </is>
      </c>
      <c r="G1166" s="12" t="n">
        <v>-142</v>
      </c>
      <c r="H1166" s="14">
        <f>IF(OR(F1166="",G1166="",AND(I1166&lt;&gt;"W",I1166&lt;&gt;"L")),"",IF(I1166="W",IF(G1166&gt;0,G1166/100,1),IF(G1166&lt;0,G1166/100,-1)))</f>
        <v/>
      </c>
      <c r="I1166" s="11" t="inlineStr">
        <is>
          <t>L</t>
        </is>
      </c>
      <c r="J1166" s="10" t="inlineStr">
        <is>
          <t>STL 6, ANA 2</t>
        </is>
      </c>
      <c r="K1166" s="10" t="inlineStr">
        <is>
          <t>DraftKings closing</t>
        </is>
      </c>
    </row>
    <row r="1167">
      <c r="A1167" s="9" t="n">
        <v>46116</v>
      </c>
      <c r="B1167" s="10" t="inlineStr">
        <is>
          <t>DET @ NYR</t>
        </is>
      </c>
      <c r="C1167" s="13" t="n">
        <v>66.04000000000001</v>
      </c>
      <c r="D1167" s="13" t="n">
        <v>66.92</v>
      </c>
      <c r="E1167" s="13">
        <f>IF(OR(C1167="",D1167=""),"",ABS(C1167-D1167))</f>
        <v/>
      </c>
      <c r="F1167" s="11" t="inlineStr">
        <is>
          <t>NYR</t>
        </is>
      </c>
      <c r="G1167" s="12" t="n">
        <v>124</v>
      </c>
      <c r="H1167" s="14">
        <f>IF(OR(F1167="",G1167="",AND(I1167&lt;&gt;"W",I1167&lt;&gt;"L")),"",IF(I1167="W",IF(G1167&gt;0,G1167/100,1),IF(G1167&lt;0,G1167/100,-1)))</f>
        <v/>
      </c>
      <c r="I1167" s="11" t="inlineStr">
        <is>
          <t>W</t>
        </is>
      </c>
      <c r="J1167" s="10" t="inlineStr">
        <is>
          <t>DET 1, NYR 4</t>
        </is>
      </c>
      <c r="K1167" s="10" t="inlineStr">
        <is>
          <t>DraftKings closing</t>
        </is>
      </c>
    </row>
    <row r="1168">
      <c r="A1168" s="9" t="n">
        <v>46116</v>
      </c>
      <c r="B1168" s="10" t="inlineStr">
        <is>
          <t>MIN @ OTT</t>
        </is>
      </c>
      <c r="C1168" s="13" t="n">
        <v>81.38</v>
      </c>
      <c r="D1168" s="13" t="n">
        <v>74.42</v>
      </c>
      <c r="E1168" s="13">
        <f>IF(OR(C1168="",D1168=""),"",ABS(C1168-D1168))</f>
        <v/>
      </c>
      <c r="F1168" s="11" t="inlineStr">
        <is>
          <t>MIN</t>
        </is>
      </c>
      <c r="G1168" s="12" t="n">
        <v>110</v>
      </c>
      <c r="H1168" s="14">
        <f>IF(OR(F1168="",G1168="",AND(I1168&lt;&gt;"W",I1168&lt;&gt;"L")),"",IF(I1168="W",IF(G1168&gt;0,G1168/100,1),IF(G1168&lt;0,G1168/100,-1)))</f>
        <v/>
      </c>
      <c r="I1168" s="11" t="inlineStr">
        <is>
          <t>W</t>
        </is>
      </c>
      <c r="J1168" s="10" t="inlineStr">
        <is>
          <t>MIN 4, OTT 1</t>
        </is>
      </c>
      <c r="K1168" s="10" t="inlineStr">
        <is>
          <t>DraftKings closing</t>
        </is>
      </c>
    </row>
    <row r="1169">
      <c r="A1169" s="9" t="n">
        <v>46116</v>
      </c>
      <c r="B1169" s="10" t="inlineStr">
        <is>
          <t>COL @ DAL</t>
        </is>
      </c>
      <c r="C1169" s="13" t="n">
        <v>66.79000000000001</v>
      </c>
      <c r="D1169" s="13" t="n">
        <v>81.93000000000001</v>
      </c>
      <c r="E1169" s="13">
        <f>IF(OR(C1169="",D1169=""),"",ABS(C1169-D1169))</f>
        <v/>
      </c>
      <c r="F1169" s="11" t="inlineStr">
        <is>
          <t>DAL</t>
        </is>
      </c>
      <c r="G1169" s="12" t="n">
        <v>100</v>
      </c>
      <c r="H1169" s="14">
        <f>IF(OR(F1169="",G1169="",AND(I1169&lt;&gt;"W",I1169&lt;&gt;"L")),"",IF(I1169="W",IF(G1169&gt;0,G1169/100,1),IF(G1169&lt;0,G1169/100,-1)))</f>
        <v/>
      </c>
      <c r="I1169" s="11" t="inlineStr">
        <is>
          <t>L</t>
        </is>
      </c>
      <c r="J1169" s="10" t="inlineStr">
        <is>
          <t>COL 2, DAL 0</t>
        </is>
      </c>
      <c r="K1169" s="10" t="inlineStr">
        <is>
          <t>DraftKings closing</t>
        </is>
      </c>
    </row>
    <row r="1170">
      <c r="A1170" s="9" t="n">
        <v>46116</v>
      </c>
      <c r="B1170" s="10" t="inlineStr">
        <is>
          <t>BOS @ TBL</t>
        </is>
      </c>
      <c r="C1170" s="13" t="n">
        <v>66.56</v>
      </c>
      <c r="D1170" s="13" t="n">
        <v>83.67</v>
      </c>
      <c r="E1170" s="13">
        <f>IF(OR(C1170="",D1170=""),"",ABS(C1170-D1170))</f>
        <v/>
      </c>
      <c r="F1170" s="11" t="inlineStr">
        <is>
          <t>TBL</t>
        </is>
      </c>
      <c r="G1170" s="12" t="n">
        <v>-175</v>
      </c>
      <c r="H1170" s="14">
        <f>IF(OR(F1170="",G1170="",AND(I1170&lt;&gt;"W",I1170&lt;&gt;"L")),"",IF(I1170="W",IF(G1170&gt;0,G1170/100,1),IF(G1170&lt;0,G1170/100,-1)))</f>
        <v/>
      </c>
      <c r="I1170" s="11" t="inlineStr">
        <is>
          <t>W</t>
        </is>
      </c>
      <c r="J1170" s="10" t="inlineStr">
        <is>
          <t>BOS 1, TBL 3</t>
        </is>
      </c>
      <c r="K1170" s="10" t="inlineStr">
        <is>
          <t>DraftKings closing</t>
        </is>
      </c>
    </row>
    <row r="1171">
      <c r="A1171" s="9" t="n">
        <v>46116</v>
      </c>
      <c r="B1171" s="10" t="inlineStr">
        <is>
          <t>FLA @ PIT</t>
        </is>
      </c>
      <c r="C1171" s="13" t="n">
        <v>73.44</v>
      </c>
      <c r="D1171" s="13" t="n">
        <v>56.33</v>
      </c>
      <c r="E1171" s="13">
        <f>IF(OR(C1171="",D1171=""),"",ABS(C1171-D1171))</f>
        <v/>
      </c>
      <c r="F1171" s="11" t="inlineStr">
        <is>
          <t>FLA</t>
        </is>
      </c>
      <c r="G1171" s="12" t="n">
        <v>200</v>
      </c>
      <c r="H1171" s="14">
        <f>IF(OR(F1171="",G1171="",AND(I1171&lt;&gt;"W",I1171&lt;&gt;"L")),"",IF(I1171="W",IF(G1171&gt;0,G1171/100,1),IF(G1171&lt;0,G1171/100,-1)))</f>
        <v/>
      </c>
      <c r="I1171" s="11" t="inlineStr">
        <is>
          <t>L</t>
        </is>
      </c>
      <c r="J1171" s="10" t="inlineStr">
        <is>
          <t>FLA 4, PIT 9</t>
        </is>
      </c>
      <c r="K1171" s="10" t="inlineStr">
        <is>
          <t>DraftKings closing</t>
        </is>
      </c>
    </row>
    <row r="1172">
      <c r="A1172" s="9" t="n">
        <v>46116</v>
      </c>
      <c r="B1172" s="10" t="inlineStr">
        <is>
          <t>MTL @ NJD</t>
        </is>
      </c>
      <c r="C1172" s="13" t="n">
        <v>73.08</v>
      </c>
      <c r="D1172" s="13" t="n">
        <v>77.62</v>
      </c>
      <c r="E1172" s="13">
        <f>IF(OR(C1172="",D1172=""),"",ABS(C1172-D1172))</f>
        <v/>
      </c>
      <c r="F1172" s="11" t="inlineStr">
        <is>
          <t>NJD</t>
        </is>
      </c>
      <c r="G1172" s="12" t="n">
        <v>105</v>
      </c>
      <c r="H1172" s="14">
        <f>IF(OR(F1172="",G1172="",AND(I1172&lt;&gt;"W",I1172&lt;&gt;"L")),"",IF(I1172="W",IF(G1172&gt;0,G1172/100,1),IF(G1172&lt;0,G1172/100,-1)))</f>
        <v/>
      </c>
      <c r="I1172" s="11" t="inlineStr">
        <is>
          <t>L</t>
        </is>
      </c>
      <c r="J1172" s="10" t="inlineStr">
        <is>
          <t>MTL 4, NJD 3</t>
        </is>
      </c>
      <c r="K1172" s="10" t="inlineStr">
        <is>
          <t>DraftKings closing</t>
        </is>
      </c>
    </row>
    <row r="1173">
      <c r="A1173" s="9" t="n">
        <v>46116</v>
      </c>
      <c r="B1173" s="10" t="inlineStr">
        <is>
          <t>BUF @ WSH</t>
        </is>
      </c>
      <c r="C1173" s="13" t="n">
        <v>65.58</v>
      </c>
      <c r="D1173" s="13" t="n">
        <v>62.38</v>
      </c>
      <c r="E1173" s="13">
        <f>IF(OR(C1173="",D1173=""),"",ABS(C1173-D1173))</f>
        <v/>
      </c>
      <c r="F1173" s="11" t="inlineStr">
        <is>
          <t>BUF</t>
        </is>
      </c>
      <c r="G1173" s="12" t="n">
        <v>-115</v>
      </c>
      <c r="H1173" s="14">
        <f>IF(OR(F1173="",G1173="",AND(I1173&lt;&gt;"W",I1173&lt;&gt;"L")),"",IF(I1173="W",IF(G1173&gt;0,G1173/100,1),IF(G1173&lt;0,G1173/100,-1)))</f>
        <v/>
      </c>
      <c r="I1173" s="11" t="inlineStr">
        <is>
          <t>L</t>
        </is>
      </c>
      <c r="J1173" s="10" t="inlineStr">
        <is>
          <t>BUF 2, WSH 6</t>
        </is>
      </c>
      <c r="K1173" s="10" t="inlineStr">
        <is>
          <t>DraftKings closing</t>
        </is>
      </c>
    </row>
    <row r="1174">
      <c r="A1174" s="9" t="n">
        <v>46116</v>
      </c>
      <c r="B1174" s="10" t="inlineStr">
        <is>
          <t>NYI @ CAR</t>
        </is>
      </c>
      <c r="C1174" s="13" t="n">
        <v>62.81</v>
      </c>
      <c r="D1174" s="13" t="n">
        <v>85.73999999999999</v>
      </c>
      <c r="E1174" s="13">
        <f>IF(OR(C1174="",D1174=""),"",ABS(C1174-D1174))</f>
        <v/>
      </c>
      <c r="F1174" s="11" t="inlineStr">
        <is>
          <t>CAR</t>
        </is>
      </c>
      <c r="G1174" s="12" t="n">
        <v>-258</v>
      </c>
      <c r="H1174" s="14">
        <f>IF(OR(F1174="",G1174="",AND(I1174&lt;&gt;"W",I1174&lt;&gt;"L")),"",IF(I1174="W",IF(G1174&gt;0,G1174/100,1),IF(G1174&lt;0,G1174/100,-1)))</f>
        <v/>
      </c>
      <c r="I1174" s="11" t="inlineStr">
        <is>
          <t>W</t>
        </is>
      </c>
      <c r="J1174" s="10" t="inlineStr">
        <is>
          <t>NYI 3, CAR 4</t>
        </is>
      </c>
      <c r="K1174" s="10" t="inlineStr">
        <is>
          <t>DraftKings closing</t>
        </is>
      </c>
    </row>
    <row r="1175">
      <c r="A1175" s="9" t="n">
        <v>46116</v>
      </c>
      <c r="B1175" s="10" t="inlineStr">
        <is>
          <t>WPG @ CBJ</t>
        </is>
      </c>
      <c r="C1175" s="13" t="n">
        <v>58.07</v>
      </c>
      <c r="D1175" s="13" t="n">
        <v>54.26</v>
      </c>
      <c r="E1175" s="13">
        <f>IF(OR(C1175="",D1175=""),"",ABS(C1175-D1175))</f>
        <v/>
      </c>
      <c r="F1175" s="11" t="inlineStr">
        <is>
          <t>WPG</t>
        </is>
      </c>
      <c r="G1175" s="12" t="n">
        <v>124</v>
      </c>
      <c r="H1175" s="14">
        <f>IF(OR(F1175="",G1175="",AND(I1175&lt;&gt;"W",I1175&lt;&gt;"L")),"",IF(I1175="W",IF(G1175&gt;0,G1175/100,1),IF(G1175&lt;0,G1175/100,-1)))</f>
        <v/>
      </c>
      <c r="I1175" s="11" t="inlineStr">
        <is>
          <t>W</t>
        </is>
      </c>
      <c r="J1175" s="10" t="inlineStr">
        <is>
          <t>WPG 2, CBJ 1</t>
        </is>
      </c>
      <c r="K1175" s="10" t="inlineStr">
        <is>
          <t>DraftKings closing</t>
        </is>
      </c>
    </row>
    <row r="1176">
      <c r="A1176" s="9" t="n">
        <v>46116</v>
      </c>
      <c r="B1176" s="10" t="inlineStr">
        <is>
          <t>UTA @ VAN</t>
        </is>
      </c>
      <c r="C1176" s="13" t="n">
        <v>86.54000000000001</v>
      </c>
      <c r="D1176" s="13" t="n">
        <v>58.62</v>
      </c>
      <c r="E1176" s="13">
        <f>IF(OR(C1176="",D1176=""),"",ABS(C1176-D1176))</f>
        <v/>
      </c>
      <c r="F1176" s="11" t="inlineStr">
        <is>
          <t>UTA</t>
        </is>
      </c>
      <c r="G1176" s="12" t="n">
        <v>-230</v>
      </c>
      <c r="H1176" s="14">
        <f>IF(OR(F1176="",G1176="",AND(I1176&lt;&gt;"W",I1176&lt;&gt;"L")),"",IF(I1176="W",IF(G1176&gt;0,G1176/100,1),IF(G1176&lt;0,G1176/100,-1)))</f>
        <v/>
      </c>
      <c r="I1176" s="11" t="inlineStr">
        <is>
          <t>W</t>
        </is>
      </c>
      <c r="J1176" s="10" t="inlineStr">
        <is>
          <t>UTA 7, VAN 4</t>
        </is>
      </c>
      <c r="K1176" s="10" t="inlineStr">
        <is>
          <t>DraftKings closing</t>
        </is>
      </c>
    </row>
    <row r="1177">
      <c r="A1177" s="9" t="n">
        <v>46116</v>
      </c>
      <c r="B1177" s="10" t="inlineStr">
        <is>
          <t>TOR @ LAK</t>
        </is>
      </c>
      <c r="C1177" s="13" t="n">
        <v>62.46</v>
      </c>
      <c r="D1177" s="13" t="n">
        <v>66.47</v>
      </c>
      <c r="E1177" s="13">
        <f>IF(OR(C1177="",D1177=""),"",ABS(C1177-D1177))</f>
        <v/>
      </c>
      <c r="F1177" s="11" t="inlineStr">
        <is>
          <t>LAK</t>
        </is>
      </c>
      <c r="G1177" s="12" t="n">
        <v>-205</v>
      </c>
      <c r="H1177" s="14">
        <f>IF(OR(F1177="",G1177="",AND(I1177&lt;&gt;"W",I1177&lt;&gt;"L")),"",IF(I1177="W",IF(G1177&gt;0,G1177/100,1),IF(G1177&lt;0,G1177/100,-1)))</f>
        <v/>
      </c>
      <c r="I1177" s="11" t="inlineStr">
        <is>
          <t>W</t>
        </is>
      </c>
      <c r="J1177" s="10" t="inlineStr">
        <is>
          <t>TOR 6, LAK 7</t>
        </is>
      </c>
      <c r="K1177" s="10" t="inlineStr">
        <is>
          <t>DraftKings closing</t>
        </is>
      </c>
    </row>
    <row r="1178">
      <c r="A1178" s="9" t="n">
        <v>46116</v>
      </c>
      <c r="B1178" s="10" t="inlineStr">
        <is>
          <t>VGK @ EDM</t>
        </is>
      </c>
      <c r="C1178" s="13" t="n">
        <v>86.52</v>
      </c>
      <c r="D1178" s="13" t="n">
        <v>78.41</v>
      </c>
      <c r="E1178" s="13">
        <f>IF(OR(C1178="",D1178=""),"",ABS(C1178-D1178))</f>
        <v/>
      </c>
      <c r="F1178" s="11" t="inlineStr">
        <is>
          <t>VGK</t>
        </is>
      </c>
      <c r="G1178" s="12" t="n">
        <v>-110</v>
      </c>
      <c r="H1178" s="14">
        <f>IF(OR(F1178="",G1178="",AND(I1178&lt;&gt;"W",I1178&lt;&gt;"L")),"",IF(I1178="W",IF(G1178&gt;0,G1178/100,1),IF(G1178&lt;0,G1178/100,-1)))</f>
        <v/>
      </c>
      <c r="I1178" s="11" t="inlineStr">
        <is>
          <t>W</t>
        </is>
      </c>
      <c r="J1178" s="10" t="inlineStr">
        <is>
          <t>VGK 5, EDM 1</t>
        </is>
      </c>
      <c r="K1178" s="10" t="inlineStr">
        <is>
          <t>DraftKings closing</t>
        </is>
      </c>
    </row>
    <row r="1179">
      <c r="A1179" s="9" t="n">
        <v>46116</v>
      </c>
      <c r="B1179" s="10" t="inlineStr">
        <is>
          <t>CGY @ ANA</t>
        </is>
      </c>
      <c r="C1179" s="13" t="n">
        <v>53.48</v>
      </c>
      <c r="D1179" s="13" t="n">
        <v>59.01</v>
      </c>
      <c r="E1179" s="13">
        <f>IF(OR(C1179="",D1179=""),"",ABS(C1179-D1179))</f>
        <v/>
      </c>
      <c r="F1179" s="11" t="inlineStr">
        <is>
          <t>ANA</t>
        </is>
      </c>
      <c r="G1179" s="12" t="n">
        <v>-155</v>
      </c>
      <c r="H1179" s="14">
        <f>IF(OR(F1179="",G1179="",AND(I1179&lt;&gt;"W",I1179&lt;&gt;"L")),"",IF(I1179="W",IF(G1179&gt;0,G1179/100,1),IF(G1179&lt;0,G1179/100,-1)))</f>
        <v/>
      </c>
      <c r="I1179" s="11" t="inlineStr">
        <is>
          <t>L</t>
        </is>
      </c>
      <c r="J1179" s="10" t="inlineStr">
        <is>
          <t>CGY 5, ANA 3</t>
        </is>
      </c>
      <c r="K1179" s="10" t="inlineStr">
        <is>
          <t>DraftKings closing</t>
        </is>
      </c>
    </row>
    <row r="1180">
      <c r="A1180" s="9" t="n">
        <v>46116</v>
      </c>
      <c r="B1180" s="10" t="inlineStr">
        <is>
          <t>NSH @ SJS</t>
        </is>
      </c>
      <c r="C1180" s="13" t="n">
        <v>73.53</v>
      </c>
      <c r="D1180" s="13" t="n">
        <v>77.54000000000001</v>
      </c>
      <c r="E1180" s="13">
        <f>IF(OR(C1180="",D1180=""),"",ABS(C1180-D1180))</f>
        <v/>
      </c>
      <c r="F1180" s="11" t="inlineStr">
        <is>
          <t>SJS</t>
        </is>
      </c>
      <c r="G1180" s="12" t="n">
        <v>-120</v>
      </c>
      <c r="H1180" s="14">
        <f>IF(OR(F1180="",G1180="",AND(I1180&lt;&gt;"W",I1180&lt;&gt;"L")),"",IF(I1180="W",IF(G1180&gt;0,G1180/100,1),IF(G1180&lt;0,G1180/100,-1)))</f>
        <v/>
      </c>
      <c r="I1180" s="11" t="inlineStr">
        <is>
          <t>L</t>
        </is>
      </c>
      <c r="J1180" s="10" t="inlineStr">
        <is>
          <t>NSH 6, SJS 3</t>
        </is>
      </c>
      <c r="K1180" s="10" t="inlineStr">
        <is>
          <t>DraftKings closing</t>
        </is>
      </c>
    </row>
    <row r="1181">
      <c r="A1181" s="9" t="n">
        <v>46116</v>
      </c>
      <c r="B1181" s="10" t="inlineStr">
        <is>
          <t>CHI @ SEA</t>
        </is>
      </c>
      <c r="C1181" s="13" t="n">
        <v>61.59</v>
      </c>
      <c r="D1181" s="13" t="n">
        <v>53.46</v>
      </c>
      <c r="E1181" s="13">
        <f>IF(OR(C1181="",D1181=""),"",ABS(C1181-D1181))</f>
        <v/>
      </c>
      <c r="F1181" s="11" t="inlineStr">
        <is>
          <t>CHI</t>
        </is>
      </c>
      <c r="G1181" s="12" t="n">
        <v>142</v>
      </c>
      <c r="H1181" s="14">
        <f>IF(OR(F1181="",G1181="",AND(I1181&lt;&gt;"W",I1181&lt;&gt;"L")),"",IF(I1181="W",IF(G1181&gt;0,G1181/100,1),IF(G1181&lt;0,G1181/100,-1)))</f>
        <v/>
      </c>
      <c r="I1181" s="11" t="inlineStr">
        <is>
          <t>W</t>
        </is>
      </c>
      <c r="J1181" s="10" t="inlineStr">
        <is>
          <t>CHI 4, SEA 2</t>
        </is>
      </c>
      <c r="K1181" s="10" t="inlineStr">
        <is>
          <t>DraftKings closing</t>
        </is>
      </c>
    </row>
    <row r="1182">
      <c r="A1182" s="9" t="n">
        <v>46117</v>
      </c>
      <c r="B1182" s="10" t="inlineStr">
        <is>
          <t>MIN @ DET</t>
        </is>
      </c>
      <c r="C1182" s="13" t="n">
        <v>77.94</v>
      </c>
      <c r="D1182" s="13" t="n">
        <v>68.81999999999999</v>
      </c>
      <c r="E1182" s="13">
        <f>IF(OR(C1182="",D1182=""),"",ABS(C1182-D1182))</f>
        <v/>
      </c>
      <c r="F1182" s="11" t="inlineStr">
        <is>
          <t>MIN</t>
        </is>
      </c>
      <c r="G1182" s="12" t="n">
        <v>-135</v>
      </c>
      <c r="H1182" s="14">
        <f>IF(OR(F1182="",G1182="",AND(I1182&lt;&gt;"W",I1182&lt;&gt;"L")),"",IF(I1182="W",IF(G1182&gt;0,G1182/100,1),IF(G1182&lt;0,G1182/100,-1)))</f>
        <v/>
      </c>
      <c r="I1182" s="11" t="inlineStr">
        <is>
          <t>W</t>
        </is>
      </c>
      <c r="J1182" s="10" t="inlineStr">
        <is>
          <t>MIN 5, DET 4</t>
        </is>
      </c>
      <c r="K1182" s="10" t="inlineStr">
        <is>
          <t>DraftKings closing</t>
        </is>
      </c>
    </row>
    <row r="1183">
      <c r="A1183" s="9" t="n">
        <v>46117</v>
      </c>
      <c r="B1183" s="10" t="inlineStr">
        <is>
          <t>FLA @ PIT</t>
        </is>
      </c>
      <c r="C1183" s="13" t="n">
        <v>46.23</v>
      </c>
      <c r="D1183" s="13" t="n">
        <v>93.77</v>
      </c>
      <c r="E1183" s="13">
        <f>IF(OR(C1183="",D1183=""),"",ABS(C1183-D1183))</f>
        <v/>
      </c>
      <c r="F1183" s="11" t="inlineStr">
        <is>
          <t>PIT</t>
        </is>
      </c>
      <c r="G1183" s="12" t="n">
        <v>-250</v>
      </c>
      <c r="H1183" s="14">
        <f>IF(OR(F1183="",G1183="",AND(I1183&lt;&gt;"W",I1183&lt;&gt;"L")),"",IF(I1183="W",IF(G1183&gt;0,G1183/100,1),IF(G1183&lt;0,G1183/100,-1)))</f>
        <v/>
      </c>
      <c r="I1183" s="11" t="inlineStr">
        <is>
          <t>W</t>
        </is>
      </c>
      <c r="J1183" s="10" t="inlineStr">
        <is>
          <t>FLA 2, PIT 5</t>
        </is>
      </c>
      <c r="K1183" s="10" t="inlineStr">
        <is>
          <t>DraftKings closing</t>
        </is>
      </c>
    </row>
    <row r="1184">
      <c r="A1184" s="9" t="n">
        <v>46117</v>
      </c>
      <c r="B1184" s="10" t="inlineStr">
        <is>
          <t>BOS @ PHI</t>
        </is>
      </c>
      <c r="C1184" s="13" t="n">
        <v>71.86</v>
      </c>
      <c r="D1184" s="13" t="n">
        <v>77.19</v>
      </c>
      <c r="E1184" s="13">
        <f>IF(OR(C1184="",D1184=""),"",ABS(C1184-D1184))</f>
        <v/>
      </c>
      <c r="F1184" s="11" t="inlineStr">
        <is>
          <t>PHI</t>
        </is>
      </c>
      <c r="G1184" s="12" t="n">
        <v>-162</v>
      </c>
      <c r="H1184" s="14">
        <f>IF(OR(F1184="",G1184="",AND(I1184&lt;&gt;"W",I1184&lt;&gt;"L")),"",IF(I1184="W",IF(G1184&gt;0,G1184/100,1),IF(G1184&lt;0,G1184/100,-1)))</f>
        <v/>
      </c>
      <c r="I1184" s="11" t="inlineStr">
        <is>
          <t>W</t>
        </is>
      </c>
      <c r="J1184" s="10" t="inlineStr">
        <is>
          <t>BOS 1, PHI 2</t>
        </is>
      </c>
      <c r="K1184" s="10" t="inlineStr">
        <is>
          <t>DraftKings closing</t>
        </is>
      </c>
    </row>
    <row r="1185">
      <c r="A1185" s="9" t="n">
        <v>46117</v>
      </c>
      <c r="B1185" s="10" t="inlineStr">
        <is>
          <t>CAR @ OTT</t>
        </is>
      </c>
      <c r="C1185" s="13" t="n">
        <v>91.06999999999999</v>
      </c>
      <c r="D1185" s="13" t="n">
        <v>62.06</v>
      </c>
      <c r="E1185" s="13">
        <f>IF(OR(C1185="",D1185=""),"",ABS(C1185-D1185))</f>
        <v/>
      </c>
      <c r="F1185" s="11" t="inlineStr">
        <is>
          <t>CAR</t>
        </is>
      </c>
      <c r="G1185" s="12" t="n">
        <v>-120</v>
      </c>
      <c r="H1185" s="14">
        <f>IF(OR(F1185="",G1185="",AND(I1185&lt;&gt;"W",I1185&lt;&gt;"L")),"",IF(I1185="W",IF(G1185&gt;0,G1185/100,1),IF(G1185&lt;0,G1185/100,-1)))</f>
        <v/>
      </c>
      <c r="I1185" s="11" t="inlineStr">
        <is>
          <t>L</t>
        </is>
      </c>
      <c r="J1185" s="10" t="inlineStr">
        <is>
          <t>CAR 3, OTT 6</t>
        </is>
      </c>
      <c r="K1185" s="10" t="inlineStr">
        <is>
          <t>DraftKings closing</t>
        </is>
      </c>
    </row>
    <row r="1186">
      <c r="A1186" s="9" t="n">
        <v>46117</v>
      </c>
      <c r="B1186" s="10" t="inlineStr">
        <is>
          <t>NJD @ MTL</t>
        </is>
      </c>
      <c r="C1186" s="13" t="n">
        <v>66.93000000000001</v>
      </c>
      <c r="D1186" s="13" t="n">
        <v>73.06999999999999</v>
      </c>
      <c r="E1186" s="13">
        <f>IF(OR(C1186="",D1186=""),"",ABS(C1186-D1186))</f>
        <v/>
      </c>
      <c r="F1186" s="11" t="inlineStr">
        <is>
          <t>MTL</t>
        </is>
      </c>
      <c r="G1186" s="12" t="n">
        <v>-148</v>
      </c>
      <c r="H1186" s="14">
        <f>IF(OR(F1186="",G1186="",AND(I1186&lt;&gt;"W",I1186&lt;&gt;"L")),"",IF(I1186="W",IF(G1186&gt;0,G1186/100,1),IF(G1186&lt;0,G1186/100,-1)))</f>
        <v/>
      </c>
      <c r="I1186" s="11" t="inlineStr">
        <is>
          <t>L</t>
        </is>
      </c>
      <c r="J1186" s="10" t="inlineStr">
        <is>
          <t>NJD 3, MTL 0</t>
        </is>
      </c>
      <c r="K1186" s="10" t="inlineStr">
        <is>
          <t>DraftKings closing</t>
        </is>
      </c>
    </row>
    <row r="1187">
      <c r="A1187" s="9" t="n">
        <v>46117</v>
      </c>
      <c r="B1187" s="10" t="inlineStr">
        <is>
          <t>WSH @ NYR</t>
        </is>
      </c>
      <c r="C1187" s="13" t="n">
        <v>81.40000000000001</v>
      </c>
      <c r="D1187" s="13" t="n">
        <v>71.18000000000001</v>
      </c>
      <c r="E1187" s="13">
        <f>IF(OR(C1187="",D1187=""),"",ABS(C1187-D1187))</f>
        <v/>
      </c>
      <c r="F1187" s="11" t="inlineStr">
        <is>
          <t>WSH</t>
        </is>
      </c>
      <c r="G1187" s="12" t="n">
        <v>-115</v>
      </c>
      <c r="H1187" s="14">
        <f>IF(OR(F1187="",G1187="",AND(I1187&lt;&gt;"W",I1187&lt;&gt;"L")),"",IF(I1187="W",IF(G1187&gt;0,G1187/100,1),IF(G1187&lt;0,G1187/100,-1)))</f>
        <v/>
      </c>
      <c r="I1187" s="11" t="inlineStr">
        <is>
          <t>L</t>
        </is>
      </c>
      <c r="J1187" s="10" t="inlineStr">
        <is>
          <t>WSH 1, NYR 8</t>
        </is>
      </c>
      <c r="K1187" s="10" t="inlineStr">
        <is>
          <t>DraftKings closing</t>
        </is>
      </c>
    </row>
    <row r="1188">
      <c r="A1188" s="9" t="n">
        <v>46117</v>
      </c>
      <c r="B1188" s="10" t="inlineStr">
        <is>
          <t>STL @ COL</t>
        </is>
      </c>
      <c r="C1188" s="13" t="n">
        <v>80.98999999999999</v>
      </c>
      <c r="D1188" s="13" t="n">
        <v>77.20999999999999</v>
      </c>
      <c r="E1188" s="13">
        <f>IF(OR(C1188="",D1188=""),"",ABS(C1188-D1188))</f>
        <v/>
      </c>
      <c r="F1188" s="11" t="inlineStr">
        <is>
          <t>STL</t>
        </is>
      </c>
      <c r="G1188" s="12" t="n">
        <v>164</v>
      </c>
      <c r="H1188" s="14">
        <f>IF(OR(F1188="",G1188="",AND(I1188&lt;&gt;"W",I1188&lt;&gt;"L")),"",IF(I1188="W",IF(G1188&gt;0,G1188/100,1),IF(G1188&lt;0,G1188/100,-1)))</f>
        <v/>
      </c>
      <c r="I1188" s="11" t="inlineStr">
        <is>
          <t>W</t>
        </is>
      </c>
      <c r="J1188" s="10" t="inlineStr">
        <is>
          <t>STL 3, COL 2</t>
        </is>
      </c>
      <c r="K1188" s="10" t="inlineStr">
        <is>
          <t>DraftKings closing</t>
        </is>
      </c>
    </row>
    <row r="1189">
      <c r="A1189" s="9" t="n">
        <v>46118</v>
      </c>
      <c r="B1189" s="10" t="inlineStr">
        <is>
          <t>TBL @ BUF</t>
        </is>
      </c>
      <c r="C1189" s="13" t="n">
        <v>68.14</v>
      </c>
      <c r="D1189" s="13" t="n">
        <v>58.6</v>
      </c>
      <c r="E1189" s="13">
        <f>IF(OR(C1189="",D1189=""),"",ABS(C1189-D1189))</f>
        <v/>
      </c>
      <c r="F1189" s="11" t="inlineStr">
        <is>
          <t>TBL</t>
        </is>
      </c>
      <c r="G1189" s="12" t="n">
        <v>-122</v>
      </c>
      <c r="H1189" s="14">
        <f>IF(OR(F1189="",G1189="",AND(I1189&lt;&gt;"W",I1189&lt;&gt;"L")),"",IF(I1189="W",IF(G1189&gt;0,G1189/100,1),IF(G1189&lt;0,G1189/100,-1)))</f>
        <v/>
      </c>
      <c r="I1189" s="11" t="inlineStr">
        <is>
          <t>L</t>
        </is>
      </c>
      <c r="J1189" s="10" t="inlineStr">
        <is>
          <t>TBL 2, BUF 4</t>
        </is>
      </c>
      <c r="K1189" s="10" t="inlineStr">
        <is>
          <t>DraftKings closing</t>
        </is>
      </c>
    </row>
    <row r="1190">
      <c r="A1190" s="9" t="n">
        <v>46118</v>
      </c>
      <c r="B1190" s="10" t="inlineStr">
        <is>
          <t>SEA @ WPG</t>
        </is>
      </c>
      <c r="C1190" s="13" t="n">
        <v>62.42</v>
      </c>
      <c r="D1190" s="13" t="n">
        <v>75.5</v>
      </c>
      <c r="E1190" s="13">
        <f>IF(OR(C1190="",D1190=""),"",ABS(C1190-D1190))</f>
        <v/>
      </c>
      <c r="F1190" s="11" t="inlineStr">
        <is>
          <t>WPG</t>
        </is>
      </c>
      <c r="G1190" s="12" t="n">
        <v>-166</v>
      </c>
      <c r="H1190" s="14">
        <f>IF(OR(F1190="",G1190="",AND(I1190&lt;&gt;"W",I1190&lt;&gt;"L")),"",IF(I1190="W",IF(G1190&gt;0,G1190/100,1),IF(G1190&lt;0,G1190/100,-1)))</f>
        <v/>
      </c>
      <c r="I1190" s="11" t="inlineStr">
        <is>
          <t>W</t>
        </is>
      </c>
      <c r="J1190" s="10" t="inlineStr">
        <is>
          <t>SEA 2, WPG 6</t>
        </is>
      </c>
      <c r="K1190" s="10" t="inlineStr">
        <is>
          <t>DraftKings closing</t>
        </is>
      </c>
    </row>
    <row r="1191">
      <c r="A1191" s="9" t="n">
        <v>46118</v>
      </c>
      <c r="B1191" s="10" t="inlineStr">
        <is>
          <t>CHI @ SJS</t>
        </is>
      </c>
      <c r="C1191" s="13" t="n">
        <v>77.58</v>
      </c>
      <c r="D1191" s="13" t="n">
        <v>58.73</v>
      </c>
      <c r="E1191" s="13">
        <f>IF(OR(C1191="",D1191=""),"",ABS(C1191-D1191))</f>
        <v/>
      </c>
      <c r="F1191" s="11" t="inlineStr">
        <is>
          <t>CHI</t>
        </is>
      </c>
      <c r="G1191" s="12" t="n">
        <v>136</v>
      </c>
      <c r="H1191" s="14">
        <f>IF(OR(F1191="",G1191="",AND(I1191&lt;&gt;"W",I1191&lt;&gt;"L")),"",IF(I1191="W",IF(G1191&gt;0,G1191/100,1),IF(G1191&lt;0,G1191/100,-1)))</f>
        <v/>
      </c>
      <c r="I1191" s="11" t="inlineStr">
        <is>
          <t>L</t>
        </is>
      </c>
      <c r="J1191" s="10" t="inlineStr">
        <is>
          <t>CHI 2, SJS 3</t>
        </is>
      </c>
      <c r="K1191" s="10" t="inlineStr">
        <is>
          <t>DraftKings closing</t>
        </is>
      </c>
    </row>
    <row r="1192">
      <c r="A1192" s="9" t="n">
        <v>46118</v>
      </c>
      <c r="B1192" s="10" t="inlineStr">
        <is>
          <t>NSH @ LAK</t>
        </is>
      </c>
      <c r="C1192" s="13" t="n">
        <v>81.27</v>
      </c>
      <c r="D1192" s="13" t="n">
        <v>83.05</v>
      </c>
      <c r="E1192" s="13">
        <f>IF(OR(C1192="",D1192=""),"",ABS(C1192-D1192))</f>
        <v/>
      </c>
      <c r="F1192" s="11" t="inlineStr">
        <is>
          <t>LAK</t>
        </is>
      </c>
      <c r="G1192" s="12" t="n">
        <v>-135</v>
      </c>
      <c r="H1192" s="14">
        <f>IF(OR(F1192="",G1192="",AND(I1192&lt;&gt;"W",I1192&lt;&gt;"L")),"",IF(I1192="W",IF(G1192&gt;0,G1192/100,1),IF(G1192&lt;0,G1192/100,-1)))</f>
        <v/>
      </c>
      <c r="I1192" s="11" t="inlineStr">
        <is>
          <t>W</t>
        </is>
      </c>
      <c r="J1192" s="10" t="inlineStr">
        <is>
          <t>NSH 2, LAK 3</t>
        </is>
      </c>
      <c r="K1192" s="10" t="inlineStr">
        <is>
          <t>DraftKings closing</t>
        </is>
      </c>
    </row>
    <row r="1193">
      <c r="A1193" s="9" t="n">
        <v>46119</v>
      </c>
      <c r="B1193" s="10" t="inlineStr">
        <is>
          <t>FLA @ MTL</t>
        </is>
      </c>
      <c r="C1193" s="13" t="n">
        <v>66.19</v>
      </c>
      <c r="D1193" s="13" t="n">
        <v>62.69</v>
      </c>
      <c r="E1193" s="13">
        <f>IF(OR(C1193="",D1193=""),"",ABS(C1193-D1193))</f>
        <v/>
      </c>
      <c r="F1193" s="11" t="inlineStr">
        <is>
          <t>FLA</t>
        </is>
      </c>
      <c r="G1193" s="12" t="n">
        <v>235</v>
      </c>
      <c r="H1193" s="14">
        <f>IF(OR(F1193="",G1193="",AND(I1193&lt;&gt;"W",I1193&lt;&gt;"L")),"",IF(I1193="W",IF(G1193&gt;0,G1193/100,1),IF(G1193&lt;0,G1193/100,-1)))</f>
        <v/>
      </c>
      <c r="I1193" s="11" t="inlineStr">
        <is>
          <t>L</t>
        </is>
      </c>
      <c r="J1193" s="10" t="inlineStr">
        <is>
          <t>FLA 3, MTL 4</t>
        </is>
      </c>
      <c r="K1193" s="10" t="inlineStr">
        <is>
          <t>DraftKings closing</t>
        </is>
      </c>
    </row>
    <row r="1194">
      <c r="A1194" s="9" t="n">
        <v>46119</v>
      </c>
      <c r="B1194" s="10" t="inlineStr">
        <is>
          <t>TBL @ OTT</t>
        </is>
      </c>
      <c r="C1194" s="13" t="n">
        <v>66</v>
      </c>
      <c r="D1194" s="13" t="n">
        <v>78.12</v>
      </c>
      <c r="E1194" s="13">
        <f>IF(OR(C1194="",D1194=""),"",ABS(C1194-D1194))</f>
        <v/>
      </c>
      <c r="F1194" s="11" t="inlineStr">
        <is>
          <t>OTT</t>
        </is>
      </c>
      <c r="G1194" s="12" t="n">
        <v>-142</v>
      </c>
      <c r="H1194" s="14">
        <f>IF(OR(F1194="",G1194="",AND(I1194&lt;&gt;"W",I1194&lt;&gt;"L")),"",IF(I1194="W",IF(G1194&gt;0,G1194/100,1),IF(G1194&lt;0,G1194/100,-1)))</f>
        <v/>
      </c>
      <c r="I1194" s="11" t="inlineStr">
        <is>
          <t>W</t>
        </is>
      </c>
      <c r="J1194" s="10" t="inlineStr">
        <is>
          <t>TBL 2, OTT 6</t>
        </is>
      </c>
      <c r="K1194" s="10" t="inlineStr">
        <is>
          <t>DraftKings closing</t>
        </is>
      </c>
    </row>
    <row r="1195">
      <c r="A1195" s="9" t="n">
        <v>46119</v>
      </c>
      <c r="B1195" s="10" t="inlineStr">
        <is>
          <t>CBJ @ DET</t>
        </is>
      </c>
      <c r="C1195" s="13" t="n">
        <v>64.5</v>
      </c>
      <c r="D1195" s="13" t="n">
        <v>72.59</v>
      </c>
      <c r="E1195" s="13">
        <f>IF(OR(C1195="",D1195=""),"",ABS(C1195-D1195))</f>
        <v/>
      </c>
      <c r="F1195" s="11" t="inlineStr">
        <is>
          <t>DET</t>
        </is>
      </c>
      <c r="G1195" s="12" t="n">
        <v>-110</v>
      </c>
      <c r="H1195" s="14">
        <f>IF(OR(F1195="",G1195="",AND(I1195&lt;&gt;"W",I1195&lt;&gt;"L")),"",IF(I1195="W",IF(G1195&gt;0,G1195/100,1),IF(G1195&lt;0,G1195/100,-1)))</f>
        <v/>
      </c>
      <c r="I1195" s="11" t="inlineStr">
        <is>
          <t>L</t>
        </is>
      </c>
      <c r="J1195" s="10" t="inlineStr">
        <is>
          <t>CBJ 4, DET 3</t>
        </is>
      </c>
      <c r="K1195" s="10" t="inlineStr">
        <is>
          <t>DraftKings closing</t>
        </is>
      </c>
    </row>
    <row r="1196">
      <c r="A1196" s="9" t="n">
        <v>46119</v>
      </c>
      <c r="B1196" s="10" t="inlineStr">
        <is>
          <t>PHI @ NJD</t>
        </is>
      </c>
      <c r="C1196" s="13" t="n">
        <v>76.19</v>
      </c>
      <c r="D1196" s="13" t="n">
        <v>77.31</v>
      </c>
      <c r="E1196" s="13">
        <f>IF(OR(C1196="",D1196=""),"",ABS(C1196-D1196))</f>
        <v/>
      </c>
      <c r="F1196" s="11" t="inlineStr">
        <is>
          <t>NJD</t>
        </is>
      </c>
      <c r="G1196" s="12" t="n">
        <v>-125</v>
      </c>
      <c r="H1196" s="14">
        <f>IF(OR(F1196="",G1196="",AND(I1196&lt;&gt;"W",I1196&lt;&gt;"L")),"",IF(I1196="W",IF(G1196&gt;0,G1196/100,1),IF(G1196&lt;0,G1196/100,-1)))</f>
        <v/>
      </c>
      <c r="I1196" s="11" t="inlineStr">
        <is>
          <t>L</t>
        </is>
      </c>
      <c r="J1196" s="10" t="inlineStr">
        <is>
          <t>PHI 5, NJD 1</t>
        </is>
      </c>
      <c r="K1196" s="10" t="inlineStr">
        <is>
          <t>DraftKings closing</t>
        </is>
      </c>
    </row>
    <row r="1197">
      <c r="A1197" s="9" t="n">
        <v>46119</v>
      </c>
      <c r="B1197" s="10" t="inlineStr">
        <is>
          <t>BOS @ CAR</t>
        </is>
      </c>
      <c r="C1197" s="13" t="n">
        <v>63.81</v>
      </c>
      <c r="D1197" s="13" t="n">
        <v>61.88</v>
      </c>
      <c r="E1197" s="13">
        <f>IF(OR(C1197="",D1197=""),"",ABS(C1197-D1197))</f>
        <v/>
      </c>
      <c r="F1197" s="11" t="inlineStr">
        <is>
          <t>BOS</t>
        </is>
      </c>
      <c r="G1197" s="12" t="n">
        <v>154</v>
      </c>
      <c r="H1197" s="14">
        <f>IF(OR(F1197="",G1197="",AND(I1197&lt;&gt;"W",I1197&lt;&gt;"L")),"",IF(I1197="W",IF(G1197&gt;0,G1197/100,1),IF(G1197&lt;0,G1197/100,-1)))</f>
        <v/>
      </c>
      <c r="I1197" s="11" t="inlineStr">
        <is>
          <t>L</t>
        </is>
      </c>
      <c r="J1197" s="10" t="inlineStr">
        <is>
          <t>BOS 5, CAR 6</t>
        </is>
      </c>
      <c r="K1197" s="10" t="inlineStr">
        <is>
          <t>DraftKings closing</t>
        </is>
      </c>
    </row>
    <row r="1198">
      <c r="A1198" s="9" t="n">
        <v>46119</v>
      </c>
      <c r="B1198" s="10" t="inlineStr">
        <is>
          <t>COL @ STL</t>
        </is>
      </c>
      <c r="C1198" s="13" t="n">
        <v>65.18000000000001</v>
      </c>
      <c r="D1198" s="13" t="n">
        <v>74.81999999999999</v>
      </c>
      <c r="E1198" s="13">
        <f>IF(OR(C1198="",D1198=""),"",ABS(C1198-D1198))</f>
        <v/>
      </c>
      <c r="F1198" s="11" t="inlineStr">
        <is>
          <t>STL</t>
        </is>
      </c>
      <c r="G1198" s="12" t="n">
        <v>130</v>
      </c>
      <c r="H1198" s="14">
        <f>IF(OR(F1198="",G1198="",AND(I1198&lt;&gt;"W",I1198&lt;&gt;"L")),"",IF(I1198="W",IF(G1198&gt;0,G1198/100,1),IF(G1198&lt;0,G1198/100,-1)))</f>
        <v/>
      </c>
      <c r="I1198" s="11" t="inlineStr">
        <is>
          <t>L</t>
        </is>
      </c>
      <c r="J1198" s="10" t="inlineStr">
        <is>
          <t>COL 3, STL 1</t>
        </is>
      </c>
      <c r="K1198" s="10" t="inlineStr">
        <is>
          <t>DraftKings closing</t>
        </is>
      </c>
    </row>
    <row r="1199">
      <c r="A1199" s="9" t="n">
        <v>46119</v>
      </c>
      <c r="B1199" s="10" t="inlineStr">
        <is>
          <t>CGY @ DAL</t>
        </is>
      </c>
      <c r="C1199" s="13" t="n">
        <v>62.77</v>
      </c>
      <c r="D1199" s="13" t="n">
        <v>62.79</v>
      </c>
      <c r="E1199" s="13">
        <f>IF(OR(C1199="",D1199=""),"",ABS(C1199-D1199))</f>
        <v/>
      </c>
      <c r="F1199" s="11" t="inlineStr">
        <is>
          <t>DAL</t>
        </is>
      </c>
      <c r="G1199" s="12" t="n">
        <v>-258</v>
      </c>
      <c r="H1199" s="14">
        <f>IF(OR(F1199="",G1199="",AND(I1199&lt;&gt;"W",I1199&lt;&gt;"L")),"",IF(I1199="W",IF(G1199&gt;0,G1199/100,1),IF(G1199&lt;0,G1199/100,-1)))</f>
        <v/>
      </c>
      <c r="I1199" s="11" t="inlineStr">
        <is>
          <t>W</t>
        </is>
      </c>
      <c r="J1199" s="10" t="inlineStr">
        <is>
          <t>CGY 3, DAL 4</t>
        </is>
      </c>
      <c r="K1199" s="10" t="inlineStr">
        <is>
          <t>DraftKings closing</t>
        </is>
      </c>
    </row>
    <row r="1200">
      <c r="A1200" s="9" t="n">
        <v>46119</v>
      </c>
      <c r="B1200" s="10" t="inlineStr">
        <is>
          <t>SEA @ MIN</t>
        </is>
      </c>
      <c r="C1200" s="13" t="n">
        <v>58.83</v>
      </c>
      <c r="D1200" s="13" t="n">
        <v>67.41</v>
      </c>
      <c r="E1200" s="13">
        <f>IF(OR(C1200="",D1200=""),"",ABS(C1200-D1200))</f>
        <v/>
      </c>
      <c r="F1200" s="11" t="inlineStr">
        <is>
          <t>MIN</t>
        </is>
      </c>
      <c r="G1200" s="12" t="n">
        <v>-270</v>
      </c>
      <c r="H1200" s="14">
        <f>IF(OR(F1200="",G1200="",AND(I1200&lt;&gt;"W",I1200&lt;&gt;"L")),"",IF(I1200="W",IF(G1200&gt;0,G1200/100,1),IF(G1200&lt;0,G1200/100,-1)))</f>
        <v/>
      </c>
      <c r="I1200" s="11" t="inlineStr">
        <is>
          <t>W</t>
        </is>
      </c>
      <c r="J1200" s="10" t="inlineStr">
        <is>
          <t>SEA 2, MIN 5</t>
        </is>
      </c>
      <c r="K1200" s="10" t="inlineStr">
        <is>
          <t>DraftKings closing</t>
        </is>
      </c>
    </row>
    <row r="1201">
      <c r="A1201" s="9" t="n">
        <v>46119</v>
      </c>
      <c r="B1201" s="10" t="inlineStr">
        <is>
          <t>EDM @ UTA</t>
        </is>
      </c>
      <c r="C1201" s="13" t="n">
        <v>57.33</v>
      </c>
      <c r="D1201" s="13" t="n">
        <v>78.91</v>
      </c>
      <c r="E1201" s="13">
        <f>IF(OR(C1201="",D1201=""),"",ABS(C1201-D1201))</f>
        <v/>
      </c>
      <c r="F1201" s="11" t="inlineStr">
        <is>
          <t>UTA</t>
        </is>
      </c>
      <c r="G1201" s="12" t="n">
        <v>-135</v>
      </c>
      <c r="H1201" s="14">
        <f>IF(OR(F1201="",G1201="",AND(I1201&lt;&gt;"W",I1201&lt;&gt;"L")),"",IF(I1201="W",IF(G1201&gt;0,G1201/100,1),IF(G1201&lt;0,G1201/100,-1)))</f>
        <v/>
      </c>
      <c r="I1201" s="11" t="inlineStr">
        <is>
          <t>W</t>
        </is>
      </c>
      <c r="J1201" s="10" t="inlineStr">
        <is>
          <t>EDM 5, UTA 6</t>
        </is>
      </c>
      <c r="K1201" s="10" t="inlineStr">
        <is>
          <t>DraftKings closing</t>
        </is>
      </c>
    </row>
    <row r="1202">
      <c r="A1202" s="9" t="n">
        <v>46119</v>
      </c>
      <c r="B1202" s="10" t="inlineStr">
        <is>
          <t>VGK @ VAN</t>
        </is>
      </c>
      <c r="C1202" s="13" t="n">
        <v>82.67</v>
      </c>
      <c r="D1202" s="13" t="n">
        <v>61.09</v>
      </c>
      <c r="E1202" s="13">
        <f>IF(OR(C1202="",D1202=""),"",ABS(C1202-D1202))</f>
        <v/>
      </c>
      <c r="F1202" s="11" t="inlineStr">
        <is>
          <t>VGK</t>
        </is>
      </c>
      <c r="G1202" s="12" t="n">
        <v>-258</v>
      </c>
      <c r="H1202" s="14">
        <f>IF(OR(F1202="",G1202="",AND(I1202&lt;&gt;"W",I1202&lt;&gt;"L")),"",IF(I1202="W",IF(G1202&gt;0,G1202/100,1),IF(G1202&lt;0,G1202/100,-1)))</f>
        <v/>
      </c>
      <c r="I1202" s="11" t="inlineStr">
        <is>
          <t>W</t>
        </is>
      </c>
      <c r="J1202" s="10" t="inlineStr">
        <is>
          <t>VGK 2, VAN 1</t>
        </is>
      </c>
      <c r="K1202" s="10" t="inlineStr">
        <is>
          <t>DraftKings closing</t>
        </is>
      </c>
    </row>
    <row r="1203">
      <c r="A1203" s="9" t="n">
        <v>46119</v>
      </c>
      <c r="B1203" s="10" t="inlineStr">
        <is>
          <t>NSH @ ANA</t>
        </is>
      </c>
      <c r="C1203" s="13" t="n">
        <v>70.41</v>
      </c>
      <c r="D1203" s="13" t="n">
        <v>77.23</v>
      </c>
      <c r="E1203" s="13">
        <f>IF(OR(C1203="",D1203=""),"",ABS(C1203-D1203))</f>
        <v/>
      </c>
      <c r="F1203" s="11" t="inlineStr">
        <is>
          <t>ANA</t>
        </is>
      </c>
      <c r="G1203" s="12" t="n">
        <v>-155</v>
      </c>
      <c r="H1203" s="14">
        <f>IF(OR(F1203="",G1203="",AND(I1203&lt;&gt;"W",I1203&lt;&gt;"L")),"",IF(I1203="W",IF(G1203&gt;0,G1203/100,1),IF(G1203&lt;0,G1203/100,-1)))</f>
        <v/>
      </c>
      <c r="I1203" s="11" t="inlineStr">
        <is>
          <t>L</t>
        </is>
      </c>
      <c r="J1203" s="10" t="inlineStr">
        <is>
          <t>NSH 5, ANA 0</t>
        </is>
      </c>
      <c r="K1203" s="10" t="inlineStr">
        <is>
          <t>DraftKings closing</t>
        </is>
      </c>
    </row>
    <row r="1204">
      <c r="A1204" s="9" t="n">
        <v>46120</v>
      </c>
      <c r="B1204" s="10" t="inlineStr">
        <is>
          <t>BUF @ NYR</t>
        </is>
      </c>
      <c r="C1204" s="13" t="n">
        <v>74</v>
      </c>
      <c r="D1204" s="13" t="n">
        <v>100</v>
      </c>
      <c r="E1204" s="13">
        <f>IF(OR(C1204="",D1204=""),"",ABS(C1204-D1204))</f>
        <v/>
      </c>
      <c r="F1204" s="11" t="inlineStr">
        <is>
          <t>NYR</t>
        </is>
      </c>
      <c r="G1204" s="12" t="n">
        <v>114</v>
      </c>
      <c r="H1204" s="14">
        <f>IF(OR(F1204="",G1204="",AND(I1204&lt;&gt;"W",I1204&lt;&gt;"L")),"",IF(I1204="W",IF(G1204&gt;0,G1204/100,1),IF(G1204&lt;0,G1204/100,-1)))</f>
        <v/>
      </c>
      <c r="I1204" s="11" t="inlineStr">
        <is>
          <t>L</t>
        </is>
      </c>
      <c r="J1204" s="10" t="inlineStr">
        <is>
          <t>BUF 5, NYR 3</t>
        </is>
      </c>
      <c r="K1204" s="10" t="inlineStr">
        <is>
          <t>DraftKings closing</t>
        </is>
      </c>
    </row>
    <row r="1205">
      <c r="A1205" s="9" t="n">
        <v>46120</v>
      </c>
      <c r="B1205" s="10" t="inlineStr">
        <is>
          <t>WSH @ TOR</t>
        </is>
      </c>
      <c r="C1205" s="13" t="n">
        <v>38.84</v>
      </c>
      <c r="D1205" s="13" t="n">
        <v>56.95</v>
      </c>
      <c r="E1205" s="13">
        <f>IF(OR(C1205="",D1205=""),"",ABS(C1205-D1205))</f>
        <v/>
      </c>
      <c r="F1205" s="11" t="inlineStr">
        <is>
          <t>TOR</t>
        </is>
      </c>
      <c r="G1205" s="12" t="n">
        <v>130</v>
      </c>
      <c r="H1205" s="14">
        <f>IF(OR(F1205="",G1205="",AND(I1205&lt;&gt;"W",I1205&lt;&gt;"L")),"",IF(I1205="W",IF(G1205&gt;0,G1205/100,1),IF(G1205&lt;0,G1205/100,-1)))</f>
        <v/>
      </c>
      <c r="I1205" s="11" t="inlineStr">
        <is>
          <t>L</t>
        </is>
      </c>
      <c r="J1205" s="10" t="inlineStr">
        <is>
          <t>WSH 4, TOR 0</t>
        </is>
      </c>
      <c r="K1205" s="10" t="inlineStr">
        <is>
          <t>DraftKings closing</t>
        </is>
      </c>
    </row>
    <row r="1206">
      <c r="A1206" s="9" t="n">
        <v>46120</v>
      </c>
      <c r="B1206" s="10" t="inlineStr">
        <is>
          <t>EDM @ SJS</t>
        </is>
      </c>
      <c r="C1206" s="13" t="n">
        <v>58.31</v>
      </c>
      <c r="D1206" s="13" t="n">
        <v>75.93000000000001</v>
      </c>
      <c r="E1206" s="13">
        <f>IF(OR(C1206="",D1206=""),"",ABS(C1206-D1206))</f>
        <v/>
      </c>
      <c r="F1206" s="11" t="inlineStr">
        <is>
          <t>SJS</t>
        </is>
      </c>
      <c r="G1206" s="12" t="n">
        <v>-112</v>
      </c>
      <c r="H1206" s="14">
        <f>IF(OR(F1206="",G1206="",AND(I1206&lt;&gt;"W",I1206&lt;&gt;"L")),"",IF(I1206="W",IF(G1206&gt;0,G1206/100,1),IF(G1206&lt;0,G1206/100,-1)))</f>
        <v/>
      </c>
      <c r="I1206" s="11" t="inlineStr">
        <is>
          <t>L</t>
        </is>
      </c>
      <c r="J1206" s="10" t="inlineStr">
        <is>
          <t>EDM 5, SJS 2</t>
        </is>
      </c>
      <c r="K1206" s="10" t="inlineStr">
        <is>
          <t>DraftKings closing</t>
        </is>
      </c>
    </row>
    <row r="1207">
      <c r="A1207" s="9" t="n">
        <v>46121</v>
      </c>
      <c r="B1207" s="10" t="inlineStr">
        <is>
          <t>TOR @ NYI</t>
        </is>
      </c>
      <c r="C1207" s="13" t="n">
        <v>62.76</v>
      </c>
      <c r="D1207" s="13" t="n">
        <v>48.93</v>
      </c>
      <c r="E1207" s="13">
        <f>IF(OR(C1207="",D1207=""),"",ABS(C1207-D1207))</f>
        <v/>
      </c>
      <c r="F1207" s="11" t="inlineStr">
        <is>
          <t>TOR</t>
        </is>
      </c>
      <c r="G1207" s="12" t="n">
        <v>245</v>
      </c>
      <c r="H1207" s="14">
        <f>IF(OR(F1207="",G1207="",AND(I1207&lt;&gt;"W",I1207&lt;&gt;"L")),"",IF(I1207="W",IF(G1207&gt;0,G1207/100,1),IF(G1207&lt;0,G1207/100,-1)))</f>
        <v/>
      </c>
      <c r="I1207" s="11" t="inlineStr">
        <is>
          <t>L</t>
        </is>
      </c>
      <c r="J1207" s="10" t="inlineStr">
        <is>
          <t>TOR 3, NYI 5</t>
        </is>
      </c>
      <c r="K1207" s="10" t="inlineStr">
        <is>
          <t>DraftKings closing</t>
        </is>
      </c>
    </row>
    <row r="1208">
      <c r="A1208" s="9" t="n">
        <v>46121</v>
      </c>
      <c r="B1208" s="10" t="inlineStr">
        <is>
          <t>CBJ @ BUF</t>
        </is>
      </c>
      <c r="C1208" s="13" t="n">
        <v>71</v>
      </c>
      <c r="D1208" s="13" t="n">
        <v>75.84999999999999</v>
      </c>
      <c r="E1208" s="13">
        <f>IF(OR(C1208="",D1208=""),"",ABS(C1208-D1208))</f>
        <v/>
      </c>
      <c r="F1208" s="11" t="inlineStr">
        <is>
          <t>BUF</t>
        </is>
      </c>
      <c r="G1208" s="12" t="n">
        <v>-102</v>
      </c>
      <c r="H1208" s="14">
        <f>IF(OR(F1208="",G1208="",AND(I1208&lt;&gt;"W",I1208&lt;&gt;"L")),"",IF(I1208="W",IF(G1208&gt;0,G1208/100,1),IF(G1208&lt;0,G1208/100,-1)))</f>
        <v/>
      </c>
      <c r="I1208" s="11" t="inlineStr">
        <is>
          <t>W</t>
        </is>
      </c>
      <c r="J1208" s="10" t="inlineStr">
        <is>
          <t>CBJ 0, BUF 5</t>
        </is>
      </c>
      <c r="K1208" s="10" t="inlineStr">
        <is>
          <t>DraftKings closing</t>
        </is>
      </c>
    </row>
    <row r="1209">
      <c r="A1209" s="9" t="n">
        <v>46121</v>
      </c>
      <c r="B1209" s="10" t="inlineStr">
        <is>
          <t>TBL @ MTL</t>
        </is>
      </c>
      <c r="C1209" s="13" t="n">
        <v>58.79</v>
      </c>
      <c r="D1209" s="13" t="n">
        <v>70.43000000000001</v>
      </c>
      <c r="E1209" s="13">
        <f>IF(OR(C1209="",D1209=""),"",ABS(C1209-D1209))</f>
        <v/>
      </c>
      <c r="F1209" s="11" t="inlineStr">
        <is>
          <t>MTL</t>
        </is>
      </c>
      <c r="G1209" s="12" t="n">
        <v>102</v>
      </c>
      <c r="H1209" s="14">
        <f>IF(OR(F1209="",G1209="",AND(I1209&lt;&gt;"W",I1209&lt;&gt;"L")),"",IF(I1209="W",IF(G1209&gt;0,G1209/100,1),IF(G1209&lt;0,G1209/100,-1)))</f>
        <v/>
      </c>
      <c r="I1209" s="11" t="inlineStr">
        <is>
          <t>W</t>
        </is>
      </c>
      <c r="J1209" s="10" t="inlineStr">
        <is>
          <t>TBL 1, MTL 2</t>
        </is>
      </c>
      <c r="K1209" s="10" t="inlineStr">
        <is>
          <t>DraftKings closing</t>
        </is>
      </c>
    </row>
    <row r="1210">
      <c r="A1210" s="9" t="n">
        <v>46121</v>
      </c>
      <c r="B1210" s="10" t="inlineStr">
        <is>
          <t>FLA @ OTT</t>
        </is>
      </c>
      <c r="C1210" s="13" t="n">
        <v>69.56999999999999</v>
      </c>
      <c r="D1210" s="13" t="n">
        <v>81.20999999999999</v>
      </c>
      <c r="E1210" s="13">
        <f>IF(OR(C1210="",D1210=""),"",ABS(C1210-D1210))</f>
        <v/>
      </c>
      <c r="F1210" s="11" t="inlineStr">
        <is>
          <t>OTT</t>
        </is>
      </c>
      <c r="G1210" s="12" t="n">
        <v>-395</v>
      </c>
      <c r="H1210" s="14">
        <f>IF(OR(F1210="",G1210="",AND(I1210&lt;&gt;"W",I1210&lt;&gt;"L")),"",IF(I1210="W",IF(G1210&gt;0,G1210/100,1),IF(G1210&lt;0,G1210/100,-1)))</f>
        <v/>
      </c>
      <c r="I1210" s="11" t="inlineStr">
        <is>
          <t>W</t>
        </is>
      </c>
      <c r="J1210" s="10" t="inlineStr">
        <is>
          <t>FLA 1, OTT 5</t>
        </is>
      </c>
      <c r="K1210" s="10" t="inlineStr">
        <is>
          <t>DraftKings closing</t>
        </is>
      </c>
    </row>
    <row r="1211">
      <c r="A1211" s="9" t="n">
        <v>46121</v>
      </c>
      <c r="B1211" s="10" t="inlineStr">
        <is>
          <t>PHI @ DET</t>
        </is>
      </c>
      <c r="C1211" s="13" t="n">
        <v>69.70999999999999</v>
      </c>
      <c r="D1211" s="13" t="n">
        <v>69</v>
      </c>
      <c r="E1211" s="13">
        <f>IF(OR(C1211="",D1211=""),"",ABS(C1211-D1211))</f>
        <v/>
      </c>
      <c r="F1211" s="11" t="inlineStr">
        <is>
          <t>PHI</t>
        </is>
      </c>
      <c r="G1211" s="12" t="n">
        <v>-102</v>
      </c>
      <c r="H1211" s="14">
        <f>IF(OR(F1211="",G1211="",AND(I1211&lt;&gt;"W",I1211&lt;&gt;"L")),"",IF(I1211="W",IF(G1211&gt;0,G1211/100,1),IF(G1211&lt;0,G1211/100,-1)))</f>
        <v/>
      </c>
      <c r="I1211" s="11" t="inlineStr">
        <is>
          <t>L</t>
        </is>
      </c>
      <c r="J1211" s="10" t="inlineStr">
        <is>
          <t>PHI 3, DET 6</t>
        </is>
      </c>
      <c r="K1211" s="10" t="inlineStr">
        <is>
          <t>DraftKings closing</t>
        </is>
      </c>
    </row>
    <row r="1212">
      <c r="A1212" s="9" t="n">
        <v>46121</v>
      </c>
      <c r="B1212" s="10" t="inlineStr">
        <is>
          <t>PIT @ NJD</t>
        </is>
      </c>
      <c r="C1212" s="13" t="n">
        <v>73.81</v>
      </c>
      <c r="D1212" s="13" t="n">
        <v>70.29000000000001</v>
      </c>
      <c r="E1212" s="13">
        <f>IF(OR(C1212="",D1212=""),"",ABS(C1212-D1212))</f>
        <v/>
      </c>
      <c r="F1212" s="11" t="inlineStr">
        <is>
          <t>PIT</t>
        </is>
      </c>
      <c r="G1212" s="12" t="n">
        <v>-112</v>
      </c>
      <c r="H1212" s="14">
        <f>IF(OR(F1212="",G1212="",AND(I1212&lt;&gt;"W",I1212&lt;&gt;"L")),"",IF(I1212="W",IF(G1212&gt;0,G1212/100,1),IF(G1212&lt;0,G1212/100,-1)))</f>
        <v/>
      </c>
      <c r="I1212" s="11" t="inlineStr">
        <is>
          <t>W</t>
        </is>
      </c>
      <c r="J1212" s="10" t="inlineStr">
        <is>
          <t>PIT 5, NJD 2</t>
        </is>
      </c>
      <c r="K1212" s="10" t="inlineStr">
        <is>
          <t>DraftKings closing</t>
        </is>
      </c>
    </row>
    <row r="1213">
      <c r="A1213" s="9" t="n">
        <v>46121</v>
      </c>
      <c r="B1213" s="10" t="inlineStr">
        <is>
          <t>WPG @ STL</t>
        </is>
      </c>
      <c r="C1213" s="13" t="n">
        <v>81.17</v>
      </c>
      <c r="D1213" s="13" t="n">
        <v>51.02</v>
      </c>
      <c r="E1213" s="13">
        <f>IF(OR(C1213="",D1213=""),"",ABS(C1213-D1213))</f>
        <v/>
      </c>
      <c r="F1213" s="11" t="inlineStr">
        <is>
          <t>WPG</t>
        </is>
      </c>
      <c r="G1213" s="12" t="n">
        <v>-105</v>
      </c>
      <c r="H1213" s="14">
        <f>IF(OR(F1213="",G1213="",AND(I1213&lt;&gt;"W",I1213&lt;&gt;"L")),"",IF(I1213="W",IF(G1213&gt;0,G1213/100,1),IF(G1213&lt;0,G1213/100,-1)))</f>
        <v/>
      </c>
      <c r="I1213" s="11" t="inlineStr">
        <is>
          <t>W</t>
        </is>
      </c>
      <c r="J1213" s="10" t="inlineStr">
        <is>
          <t>WPG 3, STL 2</t>
        </is>
      </c>
      <c r="K1213" s="10" t="inlineStr">
        <is>
          <t>DraftKings closing</t>
        </is>
      </c>
    </row>
    <row r="1214">
      <c r="A1214" s="9" t="n">
        <v>46121</v>
      </c>
      <c r="B1214" s="10" t="inlineStr">
        <is>
          <t>CAR @ CHI</t>
        </is>
      </c>
      <c r="C1214" s="13" t="n">
        <v>85.43000000000001</v>
      </c>
      <c r="D1214" s="13" t="n">
        <v>64.06999999999999</v>
      </c>
      <c r="E1214" s="13">
        <f>IF(OR(C1214="",D1214=""),"",ABS(C1214-D1214))</f>
        <v/>
      </c>
      <c r="F1214" s="11" t="inlineStr">
        <is>
          <t>CAR</t>
        </is>
      </c>
      <c r="G1214" s="12" t="n">
        <v>-185</v>
      </c>
      <c r="H1214" s="14">
        <f>IF(OR(F1214="",G1214="",AND(I1214&lt;&gt;"W",I1214&lt;&gt;"L")),"",IF(I1214="W",IF(G1214&gt;0,G1214/100,1),IF(G1214&lt;0,G1214/100,-1)))</f>
        <v/>
      </c>
      <c r="I1214" s="11" t="inlineStr">
        <is>
          <t>W</t>
        </is>
      </c>
      <c r="J1214" s="10" t="inlineStr">
        <is>
          <t>CAR 7, CHI 2</t>
        </is>
      </c>
      <c r="K1214" s="10" t="inlineStr">
        <is>
          <t>DraftKings closing</t>
        </is>
      </c>
    </row>
    <row r="1215">
      <c r="A1215" s="9" t="n">
        <v>46121</v>
      </c>
      <c r="B1215" s="10" t="inlineStr">
        <is>
          <t>MIN @ DAL</t>
        </is>
      </c>
      <c r="C1215" s="13" t="n">
        <v>74</v>
      </c>
      <c r="D1215" s="13" t="n">
        <v>73.91</v>
      </c>
      <c r="E1215" s="13">
        <f>IF(OR(C1215="",D1215=""),"",ABS(C1215-D1215))</f>
        <v/>
      </c>
      <c r="F1215" s="11" t="inlineStr">
        <is>
          <t>MIN</t>
        </is>
      </c>
      <c r="G1215" s="12" t="n">
        <v>102</v>
      </c>
      <c r="H1215" s="14">
        <f>IF(OR(F1215="",G1215="",AND(I1215&lt;&gt;"W",I1215&lt;&gt;"L")),"",IF(I1215="W",IF(G1215&gt;0,G1215/100,1),IF(G1215&lt;0,G1215/100,-1)))</f>
        <v/>
      </c>
      <c r="I1215" s="11" t="inlineStr">
        <is>
          <t>L</t>
        </is>
      </c>
      <c r="J1215" s="10" t="inlineStr">
        <is>
          <t>MIN 4, DAL 5</t>
        </is>
      </c>
      <c r="K1215" s="10" t="inlineStr">
        <is>
          <t>DraftKings closing</t>
        </is>
      </c>
    </row>
    <row r="1216">
      <c r="A1216" s="9" t="n">
        <v>46121</v>
      </c>
      <c r="B1216" s="10" t="inlineStr">
        <is>
          <t>CGY @ COL</t>
        </is>
      </c>
      <c r="C1216" s="13" t="n">
        <v>66.09</v>
      </c>
      <c r="D1216" s="13" t="n">
        <v>88.98</v>
      </c>
      <c r="E1216" s="13">
        <f>IF(OR(C1216="",D1216=""),"",ABS(C1216-D1216))</f>
        <v/>
      </c>
      <c r="F1216" s="11" t="inlineStr">
        <is>
          <t>COL</t>
        </is>
      </c>
      <c r="G1216" s="12" t="n">
        <v>-340</v>
      </c>
      <c r="H1216" s="14">
        <f>IF(OR(F1216="",G1216="",AND(I1216&lt;&gt;"W",I1216&lt;&gt;"L")),"",IF(I1216="W",IF(G1216&gt;0,G1216/100,1),IF(G1216&lt;0,G1216/100,-1)))</f>
        <v/>
      </c>
      <c r="I1216" s="11" t="inlineStr">
        <is>
          <t>W</t>
        </is>
      </c>
      <c r="J1216" s="10" t="inlineStr">
        <is>
          <t>CGY 1, COL 3</t>
        </is>
      </c>
      <c r="K1216" s="10" t="inlineStr">
        <is>
          <t>DraftKings closing</t>
        </is>
      </c>
    </row>
    <row r="1217">
      <c r="A1217" s="9" t="n">
        <v>46121</v>
      </c>
      <c r="B1217" s="10" t="inlineStr">
        <is>
          <t>NSH @ UTA</t>
        </is>
      </c>
      <c r="C1217" s="13" t="n">
        <v>71.83</v>
      </c>
      <c r="D1217" s="13" t="n">
        <v>81.69</v>
      </c>
      <c r="E1217" s="13">
        <f>IF(OR(C1217="",D1217=""),"",ABS(C1217-D1217))</f>
        <v/>
      </c>
      <c r="F1217" s="11" t="inlineStr">
        <is>
          <t>UTA</t>
        </is>
      </c>
      <c r="G1217" s="12" t="n">
        <v>-180</v>
      </c>
      <c r="H1217" s="14">
        <f>IF(OR(F1217="",G1217="",AND(I1217&lt;&gt;"W",I1217&lt;&gt;"L")),"",IF(I1217="W",IF(G1217&gt;0,G1217/100,1),IF(G1217&lt;0,G1217/100,-1)))</f>
        <v/>
      </c>
      <c r="I1217" s="11" t="inlineStr">
        <is>
          <t>W</t>
        </is>
      </c>
      <c r="J1217" s="10" t="inlineStr">
        <is>
          <t>NSH 1, UTA 4</t>
        </is>
      </c>
      <c r="K1217" s="10" t="inlineStr">
        <is>
          <t>DraftKings closing</t>
        </is>
      </c>
    </row>
    <row r="1218">
      <c r="A1218" s="9" t="n">
        <v>46121</v>
      </c>
      <c r="B1218" s="10" t="inlineStr">
        <is>
          <t>SJS @ ANA</t>
        </is>
      </c>
      <c r="C1218" s="13" t="n">
        <v>53.63</v>
      </c>
      <c r="D1218" s="13" t="n">
        <v>68.17</v>
      </c>
      <c r="E1218" s="13">
        <f>IF(OR(C1218="",D1218=""),"",ABS(C1218-D1218))</f>
        <v/>
      </c>
      <c r="F1218" s="11" t="inlineStr">
        <is>
          <t>ANA</t>
        </is>
      </c>
      <c r="G1218" s="12" t="n">
        <v>-175</v>
      </c>
      <c r="H1218" s="14">
        <f>IF(OR(F1218="",G1218="",AND(I1218&lt;&gt;"W",I1218&lt;&gt;"L")),"",IF(I1218="W",IF(G1218&gt;0,G1218/100,1),IF(G1218&lt;0,G1218/100,-1)))</f>
        <v/>
      </c>
      <c r="I1218" s="11" t="inlineStr">
        <is>
          <t>W</t>
        </is>
      </c>
      <c r="J1218" s="10" t="inlineStr">
        <is>
          <t>SJS 1, ANA 6</t>
        </is>
      </c>
      <c r="K1218" s="10" t="inlineStr">
        <is>
          <t>DraftKings closing</t>
        </is>
      </c>
    </row>
    <row r="1219">
      <c r="A1219" s="9" t="n">
        <v>46121</v>
      </c>
      <c r="B1219" s="10" t="inlineStr">
        <is>
          <t>VGK @ SEA</t>
        </is>
      </c>
      <c r="C1219" s="13" t="n">
        <v>85.95999999999999</v>
      </c>
      <c r="D1219" s="13" t="n">
        <v>66</v>
      </c>
      <c r="E1219" s="13">
        <f>IF(OR(C1219="",D1219=""),"",ABS(C1219-D1219))</f>
        <v/>
      </c>
      <c r="F1219" s="11" t="inlineStr">
        <is>
          <t>VGK</t>
        </is>
      </c>
      <c r="G1219" s="12" t="n">
        <v>-192</v>
      </c>
      <c r="H1219" s="14">
        <f>IF(OR(F1219="",G1219="",AND(I1219&lt;&gt;"W",I1219&lt;&gt;"L")),"",IF(I1219="W",IF(G1219&gt;0,G1219/100,1),IF(G1219&lt;0,G1219/100,-1)))</f>
        <v/>
      </c>
      <c r="I1219" s="11" t="inlineStr">
        <is>
          <t>L</t>
        </is>
      </c>
      <c r="J1219" s="10" t="inlineStr">
        <is>
          <t>VGK 3, SEA 4</t>
        </is>
      </c>
      <c r="K1219" s="10" t="inlineStr">
        <is>
          <t>DraftKings closing</t>
        </is>
      </c>
    </row>
    <row r="1220">
      <c r="A1220" s="9" t="n">
        <v>46121</v>
      </c>
      <c r="B1220" s="10" t="inlineStr">
        <is>
          <t>VAN @ LAK</t>
        </is>
      </c>
      <c r="C1220" s="13" t="n">
        <v>54.04</v>
      </c>
      <c r="D1220" s="13" t="n">
        <v>69.59</v>
      </c>
      <c r="E1220" s="13">
        <f>IF(OR(C1220="",D1220=""),"",ABS(C1220-D1220))</f>
        <v/>
      </c>
      <c r="F1220" s="11" t="inlineStr">
        <is>
          <t>LAK</t>
        </is>
      </c>
      <c r="G1220" s="12" t="n">
        <v>-290</v>
      </c>
      <c r="H1220" s="14">
        <f>IF(OR(F1220="",G1220="",AND(I1220&lt;&gt;"W",I1220&lt;&gt;"L")),"",IF(I1220="W",IF(G1220&gt;0,G1220/100,1),IF(G1220&lt;0,G1220/100,-1)))</f>
        <v/>
      </c>
      <c r="I1220" s="11" t="inlineStr">
        <is>
          <t>W</t>
        </is>
      </c>
      <c r="J1220" s="10" t="inlineStr">
        <is>
          <t>VAN 1, LAK 4</t>
        </is>
      </c>
      <c r="K1220" s="10" t="inlineStr">
        <is>
          <t>DraftKings closing</t>
        </is>
      </c>
    </row>
    <row r="1221">
      <c r="A1221" s="9" t="n">
        <v>46123</v>
      </c>
      <c r="B1221" s="10" t="inlineStr">
        <is>
          <t>TBL @ BOS</t>
        </is>
      </c>
      <c r="C1221" s="13" t="n">
        <v>59.75</v>
      </c>
      <c r="D1221" s="13" t="n">
        <v>54.57</v>
      </c>
      <c r="E1221" s="13">
        <f>IF(OR(C1221="",D1221=""),"",ABS(C1221-D1221))</f>
        <v/>
      </c>
      <c r="F1221" s="11" t="inlineStr">
        <is>
          <t>TBL</t>
        </is>
      </c>
      <c r="G1221" s="12" t="n">
        <v>-115</v>
      </c>
      <c r="H1221" s="14">
        <f>IF(OR(F1221="",G1221="",AND(I1221&lt;&gt;"W",I1221&lt;&gt;"L")),"",IF(I1221="W",IF(G1221&gt;0,G1221/100,1),IF(G1221&lt;0,G1221/100,-1)))</f>
        <v/>
      </c>
      <c r="I1221" s="11" t="inlineStr">
        <is>
          <t>W</t>
        </is>
      </c>
      <c r="J1221" s="10" t="inlineStr">
        <is>
          <t>TBL 2, BOS 1</t>
        </is>
      </c>
      <c r="K1221" s="10" t="inlineStr">
        <is>
          <t>DraftKings closing</t>
        </is>
      </c>
    </row>
    <row r="1222">
      <c r="A1222" s="9" t="n">
        <v>46123</v>
      </c>
      <c r="B1222" s="10" t="inlineStr">
        <is>
          <t>OTT @ NYI</t>
        </is>
      </c>
      <c r="C1222" s="13" t="n">
        <v>85.92</v>
      </c>
      <c r="D1222" s="13" t="n">
        <v>89.27</v>
      </c>
      <c r="E1222" s="13">
        <f>IF(OR(C1222="",D1222=""),"",ABS(C1222-D1222))</f>
        <v/>
      </c>
      <c r="F1222" s="11" t="inlineStr">
        <is>
          <t>NYI</t>
        </is>
      </c>
      <c r="G1222" s="12" t="n">
        <v>110</v>
      </c>
      <c r="H1222" s="14">
        <f>IF(OR(F1222="",G1222="",AND(I1222&lt;&gt;"W",I1222&lt;&gt;"L")),"",IF(I1222="W",IF(G1222&gt;0,G1222/100,1),IF(G1222&lt;0,G1222/100,-1)))</f>
        <v/>
      </c>
      <c r="I1222" s="11" t="inlineStr">
        <is>
          <t>L</t>
        </is>
      </c>
      <c r="J1222" s="10" t="inlineStr">
        <is>
          <t>OTT 3, NYI 0</t>
        </is>
      </c>
      <c r="K1222" s="10" t="inlineStr">
        <is>
          <t>DraftKings closing</t>
        </is>
      </c>
    </row>
    <row r="1223">
      <c r="A1223" s="9" t="n">
        <v>46123</v>
      </c>
      <c r="B1223" s="10" t="inlineStr">
        <is>
          <t>WSH @ PIT</t>
        </is>
      </c>
      <c r="C1223" s="13" t="n">
        <v>77.23999999999999</v>
      </c>
      <c r="D1223" s="13" t="n">
        <v>84.76000000000001</v>
      </c>
      <c r="E1223" s="13">
        <f>IF(OR(C1223="",D1223=""),"",ABS(C1223-D1223))</f>
        <v/>
      </c>
      <c r="F1223" s="11" t="inlineStr">
        <is>
          <t>PIT</t>
        </is>
      </c>
      <c r="G1223" s="12" t="n">
        <v>130</v>
      </c>
      <c r="H1223" s="14">
        <f>IF(OR(F1223="",G1223="",AND(I1223&lt;&gt;"W",I1223&lt;&gt;"L")),"",IF(I1223="W",IF(G1223&gt;0,G1223/100,1),IF(G1223&lt;0,G1223/100,-1)))</f>
        <v/>
      </c>
      <c r="I1223" s="11" t="inlineStr">
        <is>
          <t>L</t>
        </is>
      </c>
      <c r="J1223" s="10" t="inlineStr">
        <is>
          <t>WSH 6, PIT 3</t>
        </is>
      </c>
      <c r="K1223" s="10" t="inlineStr">
        <is>
          <t>DraftKings closing</t>
        </is>
      </c>
    </row>
    <row r="1224">
      <c r="A1224" s="9" t="n">
        <v>46123</v>
      </c>
      <c r="B1224" s="10" t="inlineStr">
        <is>
          <t>EDM @ LAK</t>
        </is>
      </c>
      <c r="C1224" s="13" t="n">
        <v>86.37</v>
      </c>
      <c r="D1224" s="13" t="n">
        <v>80.19</v>
      </c>
      <c r="E1224" s="13">
        <f>IF(OR(C1224="",D1224=""),"",ABS(C1224-D1224))</f>
        <v/>
      </c>
      <c r="F1224" s="11" t="inlineStr">
        <is>
          <t>EDM</t>
        </is>
      </c>
      <c r="G1224" s="12" t="n">
        <v>-102</v>
      </c>
      <c r="H1224" s="14">
        <f>IF(OR(F1224="",G1224="",AND(I1224&lt;&gt;"W",I1224&lt;&gt;"L")),"",IF(I1224="W",IF(G1224&gt;0,G1224/100,1),IF(G1224&lt;0,G1224/100,-1)))</f>
        <v/>
      </c>
      <c r="I1224" s="11" t="inlineStr">
        <is>
          <t>L</t>
        </is>
      </c>
      <c r="J1224" s="10" t="inlineStr">
        <is>
          <t>EDM 0, LAK 1</t>
        </is>
      </c>
      <c r="K1224" s="10" t="inlineStr">
        <is>
          <t>DraftKings closing</t>
        </is>
      </c>
    </row>
    <row r="1225">
      <c r="A1225" s="9" t="n">
        <v>46123</v>
      </c>
      <c r="B1225" s="10" t="inlineStr">
        <is>
          <t>NJD @ DET</t>
        </is>
      </c>
      <c r="C1225" s="13" t="n">
        <v>55.24</v>
      </c>
      <c r="D1225" s="13" t="n">
        <v>75.41</v>
      </c>
      <c r="E1225" s="13">
        <f>IF(OR(C1225="",D1225=""),"",ABS(C1225-D1225))</f>
        <v/>
      </c>
      <c r="F1225" s="11" t="inlineStr">
        <is>
          <t>DET</t>
        </is>
      </c>
      <c r="G1225" s="12" t="n">
        <v>-135</v>
      </c>
      <c r="H1225" s="14">
        <f>IF(OR(F1225="",G1225="",AND(I1225&lt;&gt;"W",I1225&lt;&gt;"L")),"",IF(I1225="W",IF(G1225&gt;0,G1225/100,1),IF(G1225&lt;0,G1225/100,-1)))</f>
        <v/>
      </c>
      <c r="I1225" s="11" t="inlineStr">
        <is>
          <t>L</t>
        </is>
      </c>
      <c r="J1225" s="10" t="inlineStr">
        <is>
          <t>NJD 5, DET 3</t>
        </is>
      </c>
      <c r="K1225" s="10" t="inlineStr">
        <is>
          <t>DraftKings closing</t>
        </is>
      </c>
    </row>
    <row r="1226">
      <c r="A1226" s="9" t="n">
        <v>46123</v>
      </c>
      <c r="B1226" s="10" t="inlineStr">
        <is>
          <t>STL @ CHI</t>
        </is>
      </c>
      <c r="C1226" s="13" t="n">
        <v>62.26</v>
      </c>
      <c r="D1226" s="13" t="n">
        <v>48.58</v>
      </c>
      <c r="E1226" s="13">
        <f>IF(OR(C1226="",D1226=""),"",ABS(C1226-D1226))</f>
        <v/>
      </c>
      <c r="F1226" s="11" t="inlineStr">
        <is>
          <t>STL</t>
        </is>
      </c>
      <c r="G1226" s="12" t="n">
        <v>-148</v>
      </c>
      <c r="H1226" s="14">
        <f>IF(OR(F1226="",G1226="",AND(I1226&lt;&gt;"W",I1226&lt;&gt;"L")),"",IF(I1226="W",IF(G1226&gt;0,G1226/100,1),IF(G1226&lt;0,G1226/100,-1)))</f>
        <v/>
      </c>
      <c r="I1226" s="11" t="inlineStr">
        <is>
          <t>W</t>
        </is>
      </c>
      <c r="J1226" s="10" t="inlineStr">
        <is>
          <t>STL 5, CHI 3</t>
        </is>
      </c>
      <c r="K1226" s="10" t="inlineStr">
        <is>
          <t>DraftKings closing</t>
        </is>
      </c>
    </row>
    <row r="1227">
      <c r="A1227" s="9" t="n">
        <v>46123</v>
      </c>
      <c r="B1227" s="10" t="inlineStr">
        <is>
          <t>MIN @ NSH</t>
        </is>
      </c>
      <c r="C1227" s="13" t="n">
        <v>72.23999999999999</v>
      </c>
      <c r="D1227" s="13" t="n">
        <v>59.12</v>
      </c>
      <c r="E1227" s="13">
        <f>IF(OR(C1227="",D1227=""),"",ABS(C1227-D1227))</f>
        <v/>
      </c>
      <c r="F1227" s="11" t="inlineStr">
        <is>
          <t>MIN</t>
        </is>
      </c>
      <c r="G1227" s="12" t="n">
        <v>-110</v>
      </c>
      <c r="H1227" s="14">
        <f>IF(OR(F1227="",G1227="",AND(I1227&lt;&gt;"W",I1227&lt;&gt;"L")),"",IF(I1227="W",IF(G1227&gt;0,G1227/100,1),IF(G1227&lt;0,G1227/100,-1)))</f>
        <v/>
      </c>
      <c r="I1227" s="11" t="inlineStr">
        <is>
          <t>L</t>
        </is>
      </c>
      <c r="J1227" s="10" t="inlineStr">
        <is>
          <t>MIN 1, NSH 2</t>
        </is>
      </c>
      <c r="K1227" s="10" t="inlineStr">
        <is>
          <t>DraftKings closing</t>
        </is>
      </c>
    </row>
    <row r="1228">
      <c r="A1228" s="9" t="n">
        <v>46123</v>
      </c>
      <c r="B1228" s="10" t="inlineStr">
        <is>
          <t>NYR @ DAL</t>
        </is>
      </c>
      <c r="C1228" s="13" t="n">
        <v>64.15000000000001</v>
      </c>
      <c r="D1228" s="13" t="n">
        <v>67.76000000000001</v>
      </c>
      <c r="E1228" s="13">
        <f>IF(OR(C1228="",D1228=""),"",ABS(C1228-D1228))</f>
        <v/>
      </c>
      <c r="F1228" s="11" t="inlineStr">
        <is>
          <t>DAL</t>
        </is>
      </c>
      <c r="G1228" s="12" t="n">
        <v>-180</v>
      </c>
      <c r="H1228" s="14">
        <f>IF(OR(F1228="",G1228="",AND(I1228&lt;&gt;"W",I1228&lt;&gt;"L")),"",IF(I1228="W",IF(G1228&gt;0,G1228/100,1),IF(G1228&lt;0,G1228/100,-1)))</f>
        <v/>
      </c>
      <c r="I1228" s="11" t="inlineStr">
        <is>
          <t>W</t>
        </is>
      </c>
      <c r="J1228" s="10" t="inlineStr">
        <is>
          <t>NYR 0, DAL 2</t>
        </is>
      </c>
      <c r="K1228" s="10" t="inlineStr">
        <is>
          <t>DraftKings closing</t>
        </is>
      </c>
    </row>
    <row r="1229">
      <c r="A1229" s="9" t="n">
        <v>46123</v>
      </c>
      <c r="B1229" s="10" t="inlineStr">
        <is>
          <t>CAR @ UTA</t>
        </is>
      </c>
      <c r="C1229" s="13" t="n">
        <v>91.42</v>
      </c>
      <c r="D1229" s="13" t="n">
        <v>80.88</v>
      </c>
      <c r="E1229" s="13">
        <f>IF(OR(C1229="",D1229=""),"",ABS(C1229-D1229))</f>
        <v/>
      </c>
      <c r="F1229" s="11" t="inlineStr">
        <is>
          <t>CAR</t>
        </is>
      </c>
      <c r="G1229" s="12" t="n">
        <v>105</v>
      </c>
      <c r="H1229" s="14">
        <f>IF(OR(F1229="",G1229="",AND(I1229&lt;&gt;"W",I1229&lt;&gt;"L")),"",IF(I1229="W",IF(G1229&gt;0,G1229/100,1),IF(G1229&lt;0,G1229/100,-1)))</f>
        <v/>
      </c>
      <c r="I1229" s="11" t="inlineStr">
        <is>
          <t>W</t>
        </is>
      </c>
      <c r="J1229" s="10" t="inlineStr">
        <is>
          <t>CAR 4, UTA 1</t>
        </is>
      </c>
      <c r="K1229" s="10" t="inlineStr">
        <is>
          <t>DraftKings closing</t>
        </is>
      </c>
    </row>
    <row r="1230">
      <c r="A1230" s="9" t="n">
        <v>46123</v>
      </c>
      <c r="B1230" s="10" t="inlineStr">
        <is>
          <t>FLA @ TOR</t>
        </is>
      </c>
      <c r="C1230" s="13" t="n">
        <v>54.08</v>
      </c>
      <c r="D1230" s="13" t="n">
        <v>50.73</v>
      </c>
      <c r="E1230" s="13">
        <f>IF(OR(C1230="",D1230=""),"",ABS(C1230-D1230))</f>
        <v/>
      </c>
      <c r="F1230" s="11" t="inlineStr">
        <is>
          <t>FLA</t>
        </is>
      </c>
      <c r="G1230" s="12" t="n">
        <v>136</v>
      </c>
      <c r="H1230" s="14">
        <f>IF(OR(F1230="",G1230="",AND(I1230&lt;&gt;"W",I1230&lt;&gt;"L")),"",IF(I1230="W",IF(G1230&gt;0,G1230/100,1),IF(G1230&lt;0,G1230/100,-1)))</f>
        <v/>
      </c>
      <c r="I1230" s="11" t="inlineStr">
        <is>
          <t>W</t>
        </is>
      </c>
      <c r="J1230" s="10" t="inlineStr">
        <is>
          <t>FLA 6, TOR 2</t>
        </is>
      </c>
      <c r="K1230" s="10" t="inlineStr">
        <is>
          <t>DraftKings closing</t>
        </is>
      </c>
    </row>
    <row r="1231">
      <c r="A1231" s="9" t="n">
        <v>46123</v>
      </c>
      <c r="B1231" s="10" t="inlineStr">
        <is>
          <t>CBJ @ MTL</t>
        </is>
      </c>
      <c r="C1231" s="13" t="n">
        <v>65.45</v>
      </c>
      <c r="D1231" s="13" t="n">
        <v>80.25</v>
      </c>
      <c r="E1231" s="13">
        <f>IF(OR(C1231="",D1231=""),"",ABS(C1231-D1231))</f>
        <v/>
      </c>
      <c r="F1231" s="11" t="inlineStr">
        <is>
          <t>MTL</t>
        </is>
      </c>
      <c r="G1231" s="12" t="n">
        <v>-130</v>
      </c>
      <c r="H1231" s="14">
        <f>IF(OR(F1231="",G1231="",AND(I1231&lt;&gt;"W",I1231&lt;&gt;"L")),"",IF(I1231="W",IF(G1231&gt;0,G1231/100,1),IF(G1231&lt;0,G1231/100,-1)))</f>
        <v/>
      </c>
      <c r="I1231" s="11" t="inlineStr">
        <is>
          <t>L</t>
        </is>
      </c>
      <c r="J1231" s="10" t="inlineStr">
        <is>
          <t>CBJ 5, MTL 2</t>
        </is>
      </c>
      <c r="K1231" s="10" t="inlineStr">
        <is>
          <t>DraftKings closing</t>
        </is>
      </c>
    </row>
    <row r="1232">
      <c r="A1232" s="9" t="n">
        <v>46123</v>
      </c>
      <c r="B1232" s="10" t="inlineStr">
        <is>
          <t>PHI @ WPG</t>
        </is>
      </c>
      <c r="C1232" s="13" t="n">
        <v>64.59</v>
      </c>
      <c r="D1232" s="13" t="n">
        <v>77.73999999999999</v>
      </c>
      <c r="E1232" s="13">
        <f>IF(OR(C1232="",D1232=""),"",ABS(C1232-D1232))</f>
        <v/>
      </c>
      <c r="F1232" s="11" t="inlineStr">
        <is>
          <t>WPG</t>
        </is>
      </c>
      <c r="G1232" s="12" t="n">
        <v>-125</v>
      </c>
      <c r="H1232" s="14">
        <f>IF(OR(F1232="",G1232="",AND(I1232&lt;&gt;"W",I1232&lt;&gt;"L")),"",IF(I1232="W",IF(G1232&gt;0,G1232/100,1),IF(G1232&lt;0,G1232/100,-1)))</f>
        <v/>
      </c>
      <c r="I1232" s="11" t="inlineStr">
        <is>
          <t>L</t>
        </is>
      </c>
      <c r="J1232" s="10" t="inlineStr">
        <is>
          <t>PHI 7, WPG 1</t>
        </is>
      </c>
      <c r="K1232" s="10" t="inlineStr">
        <is>
          <t>DraftKings closing</t>
        </is>
      </c>
    </row>
    <row r="1233">
      <c r="A1233" s="9" t="n">
        <v>46123</v>
      </c>
      <c r="B1233" s="10" t="inlineStr">
        <is>
          <t>CGY @ SEA</t>
        </is>
      </c>
      <c r="C1233" s="13" t="n">
        <v>57.39</v>
      </c>
      <c r="D1233" s="13" t="n">
        <v>68.52</v>
      </c>
      <c r="E1233" s="13">
        <f>IF(OR(C1233="",D1233=""),"",ABS(C1233-D1233))</f>
        <v/>
      </c>
      <c r="F1233" s="11" t="inlineStr">
        <is>
          <t>SEA</t>
        </is>
      </c>
      <c r="G1233" s="12" t="n">
        <v>-130</v>
      </c>
      <c r="H1233" s="14">
        <f>IF(OR(F1233="",G1233="",AND(I1233&lt;&gt;"W",I1233&lt;&gt;"L")),"",IF(I1233="W",IF(G1233&gt;0,G1233/100,1),IF(G1233&lt;0,G1233/100,-1)))</f>
        <v/>
      </c>
      <c r="I1233" s="11" t="inlineStr">
        <is>
          <t>W</t>
        </is>
      </c>
      <c r="J1233" s="10" t="inlineStr">
        <is>
          <t>CGY 1, SEA 4</t>
        </is>
      </c>
      <c r="K1233" s="10" t="inlineStr">
        <is>
          <t>DraftKings closing</t>
        </is>
      </c>
    </row>
    <row r="1234">
      <c r="A1234" s="9" t="n">
        <v>46123</v>
      </c>
      <c r="B1234" s="10" t="inlineStr">
        <is>
          <t>VGK @ COL</t>
        </is>
      </c>
      <c r="C1234" s="13" t="n">
        <v>71.48</v>
      </c>
      <c r="D1234" s="13" t="n">
        <v>82.61</v>
      </c>
      <c r="E1234" s="13">
        <f>IF(OR(C1234="",D1234=""),"",ABS(C1234-D1234))</f>
        <v/>
      </c>
      <c r="F1234" s="11" t="inlineStr">
        <is>
          <t>COL</t>
        </is>
      </c>
      <c r="G1234" s="12" t="n">
        <v>-130</v>
      </c>
      <c r="H1234" s="14">
        <f>IF(OR(F1234="",G1234="",AND(I1234&lt;&gt;"W",I1234&lt;&gt;"L")),"",IF(I1234="W",IF(G1234&gt;0,G1234/100,1),IF(G1234&lt;0,G1234/100,-1)))</f>
        <v/>
      </c>
      <c r="I1234" s="11" t="inlineStr">
        <is>
          <t>L</t>
        </is>
      </c>
      <c r="J1234" s="10" t="inlineStr">
        <is>
          <t>VGK 3, COL 2</t>
        </is>
      </c>
      <c r="K1234" s="10" t="inlineStr">
        <is>
          <t>DraftKings closing</t>
        </is>
      </c>
    </row>
    <row r="1235">
      <c r="A1235" s="9" t="n">
        <v>46123</v>
      </c>
      <c r="B1235" s="10" t="inlineStr">
        <is>
          <t>VAN @ SJS</t>
        </is>
      </c>
      <c r="C1235" s="13" t="n">
        <v>59.81</v>
      </c>
      <c r="D1235" s="13" t="n">
        <v>52.77</v>
      </c>
      <c r="E1235" s="13">
        <f>IF(OR(C1235="",D1235=""),"",ABS(C1235-D1235))</f>
        <v/>
      </c>
      <c r="F1235" s="11" t="inlineStr">
        <is>
          <t>VAN</t>
        </is>
      </c>
      <c r="G1235" s="12" t="n">
        <v>160</v>
      </c>
      <c r="H1235" s="14">
        <f>IF(OR(F1235="",G1235="",AND(I1235&lt;&gt;"W",I1235&lt;&gt;"L")),"",IF(I1235="W",IF(G1235&gt;0,G1235/100,1),IF(G1235&lt;0,G1235/100,-1)))</f>
        <v/>
      </c>
      <c r="I1235" s="11" t="inlineStr">
        <is>
          <t>W</t>
        </is>
      </c>
      <c r="J1235" s="10" t="inlineStr">
        <is>
          <t>VAN 4, SJS 3</t>
        </is>
      </c>
      <c r="K1235" s="10" t="inlineStr">
        <is>
          <t>DraftKings closing</t>
        </is>
      </c>
    </row>
    <row r="1236">
      <c r="A1236" s="9" t="n">
        <v>46124</v>
      </c>
      <c r="B1236" s="10" t="inlineStr">
        <is>
          <t>PIT @ WSH</t>
        </is>
      </c>
      <c r="C1236" s="13" t="n">
        <v>53.91</v>
      </c>
      <c r="D1236" s="13" t="n">
        <v>86.09</v>
      </c>
      <c r="E1236" s="13">
        <f>IF(OR(C1236="",D1236=""),"",ABS(C1236-D1236))</f>
        <v/>
      </c>
      <c r="F1236" s="11" t="inlineStr">
        <is>
          <t>WSH</t>
        </is>
      </c>
      <c r="G1236" s="12" t="n">
        <v>-148</v>
      </c>
      <c r="H1236" s="14">
        <f>IF(OR(F1236="",G1236="",AND(I1236&lt;&gt;"W",I1236&lt;&gt;"L")),"",IF(I1236="W",IF(G1236&gt;0,G1236/100,1),IF(G1236&lt;0,G1236/100,-1)))</f>
        <v/>
      </c>
      <c r="I1236" s="11" t="inlineStr">
        <is>
          <t>W</t>
        </is>
      </c>
      <c r="J1236" s="10" t="inlineStr">
        <is>
          <t>PIT 0, WSH 3</t>
        </is>
      </c>
      <c r="K1236" s="10" t="inlineStr">
        <is>
          <t>DraftKings closing</t>
        </is>
      </c>
    </row>
    <row r="1237">
      <c r="A1237" s="9" t="n">
        <v>46124</v>
      </c>
      <c r="B1237" s="10" t="inlineStr">
        <is>
          <t>MTL @ NYI</t>
        </is>
      </c>
      <c r="C1237" s="13" t="n">
        <v>49.64</v>
      </c>
      <c r="D1237" s="13" t="n">
        <v>68.77</v>
      </c>
      <c r="E1237" s="13">
        <f>IF(OR(C1237="",D1237=""),"",ABS(C1237-D1237))</f>
        <v/>
      </c>
      <c r="F1237" s="11" t="inlineStr">
        <is>
          <t>NYI</t>
        </is>
      </c>
      <c r="G1237" s="12" t="n">
        <v>-125</v>
      </c>
      <c r="H1237" s="14">
        <f>IF(OR(F1237="",G1237="",AND(I1237&lt;&gt;"W",I1237&lt;&gt;"L")),"",IF(I1237="W",IF(G1237&gt;0,G1237/100,1),IF(G1237&lt;0,G1237/100,-1)))</f>
        <v/>
      </c>
      <c r="I1237" s="11" t="inlineStr">
        <is>
          <t>L</t>
        </is>
      </c>
      <c r="J1237" s="10" t="inlineStr">
        <is>
          <t>MTL 4, NYI 1</t>
        </is>
      </c>
      <c r="K1237" s="10" t="inlineStr">
        <is>
          <t>DraftKings closing</t>
        </is>
      </c>
    </row>
    <row r="1238">
      <c r="A1238" s="9" t="n">
        <v>46124</v>
      </c>
      <c r="B1238" s="10" t="inlineStr">
        <is>
          <t>BOS @ CBJ</t>
        </is>
      </c>
      <c r="C1238" s="13" t="n">
        <v>69.14</v>
      </c>
      <c r="D1238" s="13" t="n">
        <v>90.36</v>
      </c>
      <c r="E1238" s="13">
        <f>IF(OR(C1238="",D1238=""),"",ABS(C1238-D1238))</f>
        <v/>
      </c>
      <c r="F1238" s="11" t="inlineStr">
        <is>
          <t>CBJ</t>
        </is>
      </c>
      <c r="G1238" s="12" t="n">
        <v>-205</v>
      </c>
      <c r="H1238" s="14">
        <f>IF(OR(F1238="",G1238="",AND(I1238&lt;&gt;"W",I1238&lt;&gt;"L")),"",IF(I1238="W",IF(G1238&gt;0,G1238/100,1),IF(G1238&lt;0,G1238/100,-1)))</f>
        <v/>
      </c>
      <c r="I1238" s="11" t="inlineStr">
        <is>
          <t>L</t>
        </is>
      </c>
      <c r="J1238" s="10" t="inlineStr">
        <is>
          <t>BOS 3, CBJ 2</t>
        </is>
      </c>
      <c r="K1238" s="10" t="inlineStr">
        <is>
          <t>DraftKings closing</t>
        </is>
      </c>
    </row>
    <row r="1239">
      <c r="A1239" s="9" t="n">
        <v>46124</v>
      </c>
      <c r="B1239" s="10" t="inlineStr">
        <is>
          <t>OTT @ NJD</t>
        </is>
      </c>
      <c r="C1239" s="13" t="n">
        <v>71.23</v>
      </c>
      <c r="D1239" s="13" t="n">
        <v>78.38</v>
      </c>
      <c r="E1239" s="13">
        <f>IF(OR(C1239="",D1239=""),"",ABS(C1239-D1239))</f>
        <v/>
      </c>
      <c r="F1239" s="11" t="inlineStr">
        <is>
          <t>NJD</t>
        </is>
      </c>
      <c r="G1239" s="12" t="n">
        <v>-125</v>
      </c>
      <c r="H1239" s="14">
        <f>IF(OR(F1239="",G1239="",AND(I1239&lt;&gt;"W",I1239&lt;&gt;"L")),"",IF(I1239="W",IF(G1239&gt;0,G1239/100,1),IF(G1239&lt;0,G1239/100,-1)))</f>
        <v/>
      </c>
      <c r="I1239" s="11" t="inlineStr">
        <is>
          <t>W</t>
        </is>
      </c>
      <c r="J1239" s="10" t="inlineStr">
        <is>
          <t>OTT 3, NJD 4</t>
        </is>
      </c>
      <c r="K1239" s="10" t="inlineStr">
        <is>
          <t>DraftKings closing</t>
        </is>
      </c>
    </row>
    <row r="1240">
      <c r="A1240" s="9" t="n">
        <v>46124</v>
      </c>
      <c r="B1240" s="10" t="inlineStr">
        <is>
          <t>VAN @ ANA</t>
        </is>
      </c>
      <c r="C1240" s="13" t="n">
        <v>68.97</v>
      </c>
      <c r="D1240" s="13" t="n">
        <v>87.23</v>
      </c>
      <c r="E1240" s="13">
        <f>IF(OR(C1240="",D1240=""),"",ABS(C1240-D1240))</f>
        <v/>
      </c>
      <c r="F1240" s="11" t="inlineStr">
        <is>
          <t>ANA</t>
        </is>
      </c>
      <c r="G1240" s="12" t="n">
        <v>-325</v>
      </c>
      <c r="H1240" s="14">
        <f>IF(OR(F1240="",G1240="",AND(I1240&lt;&gt;"W",I1240&lt;&gt;"L")),"",IF(I1240="W",IF(G1240&gt;0,G1240/100,1),IF(G1240&lt;0,G1240/100,-1)))</f>
        <v/>
      </c>
      <c r="I1240" s="11" t="inlineStr">
        <is>
          <t>L</t>
        </is>
      </c>
      <c r="J1240" s="10" t="inlineStr">
        <is>
          <t>VAN 4, ANA 3</t>
        </is>
      </c>
      <c r="K1240" s="10" t="inlineStr">
        <is>
          <t>DraftKings closing</t>
        </is>
      </c>
    </row>
    <row r="1241">
      <c r="A1241" s="9" t="n">
        <v>46124</v>
      </c>
      <c r="B1241" s="10" t="inlineStr">
        <is>
          <t>UTA @ CGY</t>
        </is>
      </c>
      <c r="C1241" s="13" t="n">
        <v>62.78</v>
      </c>
      <c r="D1241" s="13" t="n">
        <v>62.1</v>
      </c>
      <c r="E1241" s="13">
        <f>IF(OR(C1241="",D1241=""),"",ABS(C1241-D1241))</f>
        <v/>
      </c>
      <c r="F1241" s="11" t="inlineStr">
        <is>
          <t>UTA</t>
        </is>
      </c>
      <c r="G1241" s="12" t="n">
        <v>-162</v>
      </c>
      <c r="H1241" s="14">
        <f>IF(OR(F1241="",G1241="",AND(I1241&lt;&gt;"W",I1241&lt;&gt;"L")),"",IF(I1241="W",IF(G1241&gt;0,G1241/100,1),IF(G1241&lt;0,G1241/100,-1)))</f>
        <v/>
      </c>
      <c r="I1241" s="11" t="inlineStr">
        <is>
          <t>L</t>
        </is>
      </c>
      <c r="J1241" s="10" t="inlineStr">
        <is>
          <t>UTA 1, CGY 4</t>
        </is>
      </c>
      <c r="K1241" s="10" t="inlineStr">
        <is>
          <t>DraftKings closing</t>
        </is>
      </c>
    </row>
    <row r="1242">
      <c r="A1242" s="9" t="n">
        <v>46125</v>
      </c>
      <c r="B1242" s="10" t="inlineStr">
        <is>
          <t>DET @ TBL</t>
        </is>
      </c>
      <c r="C1242" s="13" t="n">
        <v>61.62</v>
      </c>
      <c r="D1242" s="13" t="n">
        <v>70.86</v>
      </c>
      <c r="E1242" s="13">
        <f>IF(OR(C1242="",D1242=""),"",ABS(C1242-D1242))</f>
        <v/>
      </c>
      <c r="F1242" s="11" t="inlineStr">
        <is>
          <t>TBL</t>
        </is>
      </c>
      <c r="G1242" s="12" t="n">
        <v>-198</v>
      </c>
      <c r="H1242" s="14">
        <f>IF(OR(F1242="",G1242="",AND(I1242&lt;&gt;"W",I1242&lt;&gt;"L")),"",IF(I1242="W",IF(G1242&gt;0,G1242/100,1),IF(G1242&lt;0,G1242/100,-1)))</f>
        <v/>
      </c>
      <c r="I1242" s="11" t="inlineStr">
        <is>
          <t>W</t>
        </is>
      </c>
      <c r="J1242" s="10" t="inlineStr">
        <is>
          <t>DET 3, TBL 4</t>
        </is>
      </c>
      <c r="K1242" s="10" t="inlineStr">
        <is>
          <t>DraftKings closing</t>
        </is>
      </c>
    </row>
    <row r="1243">
      <c r="A1243" s="9" t="n">
        <v>46125</v>
      </c>
      <c r="B1243" s="10" t="inlineStr">
        <is>
          <t>NYR @ FLA</t>
        </is>
      </c>
      <c r="C1243" s="13" t="n">
        <v>72.14</v>
      </c>
      <c r="D1243" s="13" t="n">
        <v>79.75</v>
      </c>
      <c r="E1243" s="13">
        <f>IF(OR(C1243="",D1243=""),"",ABS(C1243-D1243))</f>
        <v/>
      </c>
      <c r="F1243" s="11" t="inlineStr">
        <is>
          <t>FLA</t>
        </is>
      </c>
      <c r="G1243" s="12" t="n">
        <v>130</v>
      </c>
      <c r="H1243" s="14">
        <f>IF(OR(F1243="",G1243="",AND(I1243&lt;&gt;"W",I1243&lt;&gt;"L")),"",IF(I1243="W",IF(G1243&gt;0,G1243/100,1),IF(G1243&lt;0,G1243/100,-1)))</f>
        <v/>
      </c>
      <c r="I1243" s="11" t="inlineStr">
        <is>
          <t>W</t>
        </is>
      </c>
      <c r="J1243" s="10" t="inlineStr">
        <is>
          <t>NYR 2, FLA 3</t>
        </is>
      </c>
      <c r="K1243" s="10" t="inlineStr">
        <is>
          <t>DraftKings closing</t>
        </is>
      </c>
    </row>
    <row r="1244">
      <c r="A1244" s="9" t="n">
        <v>46125</v>
      </c>
      <c r="B1244" s="10" t="inlineStr">
        <is>
          <t>CAR @ PHI</t>
        </is>
      </c>
      <c r="C1244" s="13" t="n">
        <v>77.22</v>
      </c>
      <c r="D1244" s="13" t="n">
        <v>85.47</v>
      </c>
      <c r="E1244" s="13">
        <f>IF(OR(C1244="",D1244=""),"",ABS(C1244-D1244))</f>
        <v/>
      </c>
      <c r="F1244" s="11" t="inlineStr">
        <is>
          <t>PHI</t>
        </is>
      </c>
      <c r="G1244" s="12" t="n">
        <v>-162</v>
      </c>
      <c r="H1244" s="14">
        <f>IF(OR(F1244="",G1244="",AND(I1244&lt;&gt;"W",I1244&lt;&gt;"L")),"",IF(I1244="W",IF(G1244&gt;0,G1244/100,1),IF(G1244&lt;0,G1244/100,-1)))</f>
        <v/>
      </c>
      <c r="I1244" s="11" t="inlineStr">
        <is>
          <t>W</t>
        </is>
      </c>
      <c r="J1244" s="10" t="inlineStr">
        <is>
          <t>CAR 2, PHI 3</t>
        </is>
      </c>
      <c r="K1244" s="10" t="inlineStr">
        <is>
          <t>DraftKings closing</t>
        </is>
      </c>
    </row>
    <row r="1245">
      <c r="A1245" s="9" t="n">
        <v>46125</v>
      </c>
      <c r="B1245" s="10" t="inlineStr">
        <is>
          <t>DAL @ TOR</t>
        </is>
      </c>
      <c r="C1245" s="13" t="n">
        <v>67.86</v>
      </c>
      <c r="D1245" s="13" t="n">
        <v>60.25</v>
      </c>
      <c r="E1245" s="13">
        <f>IF(OR(C1245="",D1245=""),"",ABS(C1245-D1245))</f>
        <v/>
      </c>
      <c r="F1245" s="11" t="inlineStr">
        <is>
          <t>DAL</t>
        </is>
      </c>
      <c r="G1245" s="12" t="n">
        <v>-192</v>
      </c>
      <c r="H1245" s="14">
        <f>IF(OR(F1245="",G1245="",AND(I1245&lt;&gt;"W",I1245&lt;&gt;"L")),"",IF(I1245="W",IF(G1245&gt;0,G1245/100,1),IF(G1245&lt;0,G1245/100,-1)))</f>
        <v/>
      </c>
      <c r="I1245" s="11" t="inlineStr">
        <is>
          <t>W</t>
        </is>
      </c>
      <c r="J1245" s="10" t="inlineStr">
        <is>
          <t>DAL 6, TOR 5</t>
        </is>
      </c>
      <c r="K1245" s="10" t="inlineStr">
        <is>
          <t>DraftKings closing</t>
        </is>
      </c>
    </row>
    <row r="1246">
      <c r="A1246" s="9" t="n">
        <v>46125</v>
      </c>
      <c r="B1246" s="10" t="inlineStr">
        <is>
          <t>MIN @ STL</t>
        </is>
      </c>
      <c r="C1246" s="13" t="n">
        <v>71.06999999999999</v>
      </c>
      <c r="D1246" s="13" t="n">
        <v>75.88</v>
      </c>
      <c r="E1246" s="13">
        <f>IF(OR(C1246="",D1246=""),"",ABS(C1246-D1246))</f>
        <v/>
      </c>
      <c r="F1246" s="11" t="inlineStr">
        <is>
          <t>STL</t>
        </is>
      </c>
      <c r="G1246" s="12" t="n">
        <v>-185</v>
      </c>
      <c r="H1246" s="14">
        <f>IF(OR(F1246="",G1246="",AND(I1246&lt;&gt;"W",I1246&lt;&gt;"L")),"",IF(I1246="W",IF(G1246&gt;0,G1246/100,1),IF(G1246&lt;0,G1246/100,-1)))</f>
        <v/>
      </c>
      <c r="I1246" s="11" t="inlineStr">
        <is>
          <t>W</t>
        </is>
      </c>
      <c r="J1246" s="10" t="inlineStr">
        <is>
          <t>MIN 3, STL 6</t>
        </is>
      </c>
      <c r="K1246" s="10" t="inlineStr">
        <is>
          <t>DraftKings closing</t>
        </is>
      </c>
    </row>
    <row r="1247">
      <c r="A1247" s="9" t="n">
        <v>46125</v>
      </c>
      <c r="B1247" s="10" t="inlineStr">
        <is>
          <t>SJS @ NSH</t>
        </is>
      </c>
      <c r="C1247" s="13" t="n">
        <v>71.03</v>
      </c>
      <c r="D1247" s="13" t="n">
        <v>68.93000000000001</v>
      </c>
      <c r="E1247" s="13">
        <f>IF(OR(C1247="",D1247=""),"",ABS(C1247-D1247))</f>
        <v/>
      </c>
      <c r="F1247" s="11" t="inlineStr">
        <is>
          <t>SJS</t>
        </is>
      </c>
      <c r="G1247" s="12" t="n">
        <v>130</v>
      </c>
      <c r="H1247" s="14">
        <f>IF(OR(F1247="",G1247="",AND(I1247&lt;&gt;"W",I1247&lt;&gt;"L")),"",IF(I1247="W",IF(G1247&gt;0,G1247/100,1),IF(G1247&lt;0,G1247/100,-1)))</f>
        <v/>
      </c>
      <c r="I1247" s="11" t="inlineStr">
        <is>
          <t>W</t>
        </is>
      </c>
      <c r="J1247" s="10" t="inlineStr">
        <is>
          <t>SJS 3, NSH 2</t>
        </is>
      </c>
      <c r="K1247" s="10" t="inlineStr">
        <is>
          <t>DraftKings closing</t>
        </is>
      </c>
    </row>
    <row r="1248">
      <c r="A1248" s="9" t="n">
        <v>46125</v>
      </c>
      <c r="B1248" s="10" t="inlineStr">
        <is>
          <t>BUF @ CHI</t>
        </is>
      </c>
      <c r="C1248" s="13" t="n">
        <v>74.55</v>
      </c>
      <c r="D1248" s="13" t="n">
        <v>64.12</v>
      </c>
      <c r="E1248" s="13">
        <f>IF(OR(C1248="",D1248=""),"",ABS(C1248-D1248))</f>
        <v/>
      </c>
      <c r="F1248" s="11" t="inlineStr">
        <is>
          <t>BUF</t>
        </is>
      </c>
      <c r="G1248" s="12" t="n">
        <v>-198</v>
      </c>
      <c r="H1248" s="14">
        <f>IF(OR(F1248="",G1248="",AND(I1248&lt;&gt;"W",I1248&lt;&gt;"L")),"",IF(I1248="W",IF(G1248&gt;0,G1248/100,1),IF(G1248&lt;0,G1248/100,-1)))</f>
        <v/>
      </c>
      <c r="I1248" s="11" t="inlineStr">
        <is>
          <t>W</t>
        </is>
      </c>
      <c r="J1248" s="10" t="inlineStr">
        <is>
          <t>BUF 5, CHI 1</t>
        </is>
      </c>
      <c r="K1248" s="10" t="inlineStr">
        <is>
          <t>DraftKings closing</t>
        </is>
      </c>
    </row>
    <row r="1249">
      <c r="A1249" s="9" t="n">
        <v>46125</v>
      </c>
      <c r="B1249" s="10" t="inlineStr">
        <is>
          <t>COL @ EDM</t>
        </is>
      </c>
      <c r="C1249" s="13" t="n">
        <v>64.31</v>
      </c>
      <c r="D1249" s="13" t="n">
        <v>73.48</v>
      </c>
      <c r="E1249" s="13">
        <f>IF(OR(C1249="",D1249=""),"",ABS(C1249-D1249))</f>
        <v/>
      </c>
      <c r="F1249" s="11" t="inlineStr">
        <is>
          <t>EDM</t>
        </is>
      </c>
      <c r="G1249" s="12" t="n">
        <v>105</v>
      </c>
      <c r="H1249" s="14">
        <f>IF(OR(F1249="",G1249="",AND(I1249&lt;&gt;"W",I1249&lt;&gt;"L")),"",IF(I1249="W",IF(G1249&gt;0,G1249/100,1),IF(G1249&lt;0,G1249/100,-1)))</f>
        <v/>
      </c>
      <c r="I1249" s="11" t="inlineStr">
        <is>
          <t>L</t>
        </is>
      </c>
      <c r="J1249" s="10" t="inlineStr">
        <is>
          <t>COL 2, EDM 1</t>
        </is>
      </c>
      <c r="K1249" s="10" t="inlineStr">
        <is>
          <t>DraftKings closing</t>
        </is>
      </c>
    </row>
    <row r="1250">
      <c r="A1250" s="9" t="n">
        <v>46125</v>
      </c>
      <c r="B1250" s="10" t="inlineStr">
        <is>
          <t>LAK @ SEA</t>
        </is>
      </c>
      <c r="C1250" s="13" t="n">
        <v>66.52</v>
      </c>
      <c r="D1250" s="13" t="n">
        <v>77.90000000000001</v>
      </c>
      <c r="E1250" s="13">
        <f>IF(OR(C1250="",D1250=""),"",ABS(C1250-D1250))</f>
        <v/>
      </c>
      <c r="F1250" s="11" t="inlineStr">
        <is>
          <t>SEA</t>
        </is>
      </c>
      <c r="G1250" s="12" t="n">
        <v>145</v>
      </c>
      <c r="H1250" s="14">
        <f>IF(OR(F1250="",G1250="",AND(I1250&lt;&gt;"W",I1250&lt;&gt;"L")),"",IF(I1250="W",IF(G1250&gt;0,G1250/100,1),IF(G1250&lt;0,G1250/100,-1)))</f>
        <v/>
      </c>
      <c r="I1250" s="11" t="inlineStr">
        <is>
          <t>L</t>
        </is>
      </c>
      <c r="J1250" s="10" t="inlineStr">
        <is>
          <t>LAK 5, SEA 3</t>
        </is>
      </c>
      <c r="K1250" s="10" t="inlineStr">
        <is>
          <t>DraftKings closing</t>
        </is>
      </c>
    </row>
    <row r="1251">
      <c r="A1251" s="9" t="n">
        <v>46125</v>
      </c>
      <c r="B1251" s="10" t="inlineStr">
        <is>
          <t>WPG @ VGK</t>
        </is>
      </c>
      <c r="C1251" s="13" t="n">
        <v>54.53</v>
      </c>
      <c r="D1251" s="13" t="n">
        <v>75.69</v>
      </c>
      <c r="E1251" s="13">
        <f>IF(OR(C1251="",D1251=""),"",ABS(C1251-D1251))</f>
        <v/>
      </c>
      <c r="F1251" s="11" t="inlineStr">
        <is>
          <t>VGK</t>
        </is>
      </c>
      <c r="G1251" s="12" t="n">
        <v>-185</v>
      </c>
      <c r="H1251" s="14">
        <f>IF(OR(F1251="",G1251="",AND(I1251&lt;&gt;"W",I1251&lt;&gt;"L")),"",IF(I1251="W",IF(G1251&gt;0,G1251/100,1),IF(G1251&lt;0,G1251/100,-1)))</f>
        <v/>
      </c>
      <c r="I1251" s="11" t="inlineStr">
        <is>
          <t>W</t>
        </is>
      </c>
      <c r="J1251" s="10" t="inlineStr">
        <is>
          <t>WPG 2, VGK 6</t>
        </is>
      </c>
      <c r="K1251" s="10" t="inlineStr">
        <is>
          <t>DraftKings closing</t>
        </is>
      </c>
    </row>
    <row r="1252">
      <c r="A1252" s="9" t="n">
        <v>46126</v>
      </c>
      <c r="B1252" s="10" t="inlineStr">
        <is>
          <t>NJD @ BOS</t>
        </is>
      </c>
      <c r="C1252" s="13" t="n">
        <v>74.19</v>
      </c>
      <c r="D1252" s="13" t="n">
        <v>67.92</v>
      </c>
      <c r="E1252" s="13">
        <f>IF(OR(C1252="",D1252=""),"",ABS(C1252-D1252))</f>
        <v/>
      </c>
      <c r="F1252" s="11" t="inlineStr">
        <is>
          <t>NJD</t>
        </is>
      </c>
      <c r="G1252" s="12" t="n">
        <v>130</v>
      </c>
      <c r="H1252" s="14">
        <f>IF(OR(F1252="",G1252="",AND(I1252&lt;&gt;"W",I1252&lt;&gt;"L")),"",IF(I1252="W",IF(G1252&gt;0,G1252/100,1),IF(G1252&lt;0,G1252/100,-1)))</f>
        <v/>
      </c>
      <c r="I1252" s="11" t="inlineStr">
        <is>
          <t>L</t>
        </is>
      </c>
      <c r="J1252" s="10" t="inlineStr">
        <is>
          <t>NJD 0, BOS 4</t>
        </is>
      </c>
      <c r="K1252" s="10" t="inlineStr">
        <is>
          <t>DraftKings closing</t>
        </is>
      </c>
    </row>
    <row r="1253">
      <c r="A1253" s="9" t="n">
        <v>46126</v>
      </c>
      <c r="B1253" s="10" t="inlineStr">
        <is>
          <t>CAR @ NYI</t>
        </is>
      </c>
      <c r="C1253" s="13" t="n">
        <v>77.43000000000001</v>
      </c>
      <c r="D1253" s="13" t="n">
        <v>66.69</v>
      </c>
      <c r="E1253" s="13">
        <f>IF(OR(C1253="",D1253=""),"",ABS(C1253-D1253))</f>
        <v/>
      </c>
      <c r="F1253" s="11" t="inlineStr">
        <is>
          <t>CAR</t>
        </is>
      </c>
      <c r="G1253" s="12" t="n">
        <v>154</v>
      </c>
      <c r="H1253" s="14">
        <f>IF(OR(F1253="",G1253="",AND(I1253&lt;&gt;"W",I1253&lt;&gt;"L")),"",IF(I1253="W",IF(G1253&gt;0,G1253/100,1),IF(G1253&lt;0,G1253/100,-1)))</f>
        <v/>
      </c>
      <c r="I1253" s="11" t="inlineStr">
        <is>
          <t>W</t>
        </is>
      </c>
      <c r="J1253" s="10" t="inlineStr">
        <is>
          <t>CAR 2, NYI 1</t>
        </is>
      </c>
      <c r="K1253" s="10" t="inlineStr">
        <is>
          <t>DraftKings closing</t>
        </is>
      </c>
    </row>
    <row r="1254">
      <c r="A1254" s="9" t="n">
        <v>46126</v>
      </c>
      <c r="B1254" s="10" t="inlineStr">
        <is>
          <t>MTL @ PHI</t>
        </is>
      </c>
      <c r="C1254" s="13" t="n">
        <v>73.31</v>
      </c>
      <c r="D1254" s="13" t="n">
        <v>62.57</v>
      </c>
      <c r="E1254" s="13">
        <f>IF(OR(C1254="",D1254=""),"",ABS(C1254-D1254))</f>
        <v/>
      </c>
      <c r="F1254" s="11" t="inlineStr">
        <is>
          <t>MTL</t>
        </is>
      </c>
      <c r="G1254" s="12" t="n">
        <v>-305</v>
      </c>
      <c r="H1254" s="14">
        <f>IF(OR(F1254="",G1254="",AND(I1254&lt;&gt;"W",I1254&lt;&gt;"L")),"",IF(I1254="W",IF(G1254&gt;0,G1254/100,1),IF(G1254&lt;0,G1254/100,-1)))</f>
        <v/>
      </c>
      <c r="I1254" s="11" t="inlineStr">
        <is>
          <t>L</t>
        </is>
      </c>
      <c r="J1254" s="10" t="inlineStr">
        <is>
          <t>MTL 2, PHI 4</t>
        </is>
      </c>
      <c r="K1254" s="10" t="inlineStr">
        <is>
          <t>DraftKings closing</t>
        </is>
      </c>
    </row>
    <row r="1255">
      <c r="A1255" s="9" t="n">
        <v>46126</v>
      </c>
      <c r="B1255" s="10" t="inlineStr">
        <is>
          <t>WSH @ CBJ</t>
        </is>
      </c>
      <c r="C1255" s="13" t="n">
        <v>71.81999999999999</v>
      </c>
      <c r="D1255" s="13" t="n">
        <v>72.08</v>
      </c>
      <c r="E1255" s="13">
        <f>IF(OR(C1255="",D1255=""),"",ABS(C1255-D1255))</f>
        <v/>
      </c>
      <c r="F1255" s="11" t="inlineStr">
        <is>
          <t>CBJ</t>
        </is>
      </c>
      <c r="G1255" s="12" t="n">
        <v>-155</v>
      </c>
      <c r="H1255" s="14">
        <f>IF(OR(F1255="",G1255="",AND(I1255&lt;&gt;"W",I1255&lt;&gt;"L")),"",IF(I1255="W",IF(G1255&gt;0,G1255/100,1),IF(G1255&lt;0,G1255/100,-1)))</f>
        <v/>
      </c>
      <c r="I1255" s="11" t="inlineStr">
        <is>
          <t>L</t>
        </is>
      </c>
      <c r="J1255" s="10" t="inlineStr">
        <is>
          <t>WSH 2, CBJ 1</t>
        </is>
      </c>
      <c r="K1255" s="10" t="inlineStr">
        <is>
          <t>DraftKings closing</t>
        </is>
      </c>
    </row>
    <row r="1256">
      <c r="A1256" s="9" t="n">
        <v>46126</v>
      </c>
      <c r="B1256" s="10" t="inlineStr">
        <is>
          <t>ANA @ MIN</t>
        </is>
      </c>
      <c r="C1256" s="13" t="n">
        <v>72.03</v>
      </c>
      <c r="D1256" s="13" t="n">
        <v>66.51000000000001</v>
      </c>
      <c r="E1256" s="13">
        <f>IF(OR(C1256="",D1256=""),"",ABS(C1256-D1256))</f>
        <v/>
      </c>
      <c r="F1256" s="11" t="inlineStr">
        <is>
          <t>ANA</t>
        </is>
      </c>
      <c r="G1256" s="12" t="n">
        <v>-175</v>
      </c>
      <c r="H1256" s="14">
        <f>IF(OR(F1256="",G1256="",AND(I1256&lt;&gt;"W",I1256&lt;&gt;"L")),"",IF(I1256="W",IF(G1256&gt;0,G1256/100,1),IF(G1256&lt;0,G1256/100,-1)))</f>
        <v/>
      </c>
      <c r="I1256" s="11" t="inlineStr">
        <is>
          <t>L</t>
        </is>
      </c>
      <c r="J1256" s="10" t="inlineStr">
        <is>
          <t>ANA 2, MIN 3</t>
        </is>
      </c>
      <c r="K1256" s="10" t="inlineStr">
        <is>
          <t>DraftKings closing</t>
        </is>
      </c>
    </row>
    <row r="1257">
      <c r="A1257" s="9" t="n">
        <v>46126</v>
      </c>
      <c r="B1257" s="10" t="inlineStr">
        <is>
          <t>WPG @ UTA</t>
        </is>
      </c>
      <c r="C1257" s="13" t="n">
        <v>52.88</v>
      </c>
      <c r="D1257" s="13" t="n">
        <v>62.32</v>
      </c>
      <c r="E1257" s="13">
        <f>IF(OR(C1257="",D1257=""),"",ABS(C1257-D1257))</f>
        <v/>
      </c>
      <c r="F1257" s="11" t="inlineStr">
        <is>
          <t>UTA</t>
        </is>
      </c>
      <c r="G1257" s="12" t="n">
        <v>-218</v>
      </c>
      <c r="H1257" s="14">
        <f>IF(OR(F1257="",G1257="",AND(I1257&lt;&gt;"W",I1257&lt;&gt;"L")),"",IF(I1257="W",IF(G1257&gt;0,G1257/100,1),IF(G1257&lt;0,G1257/100,-1)))</f>
        <v/>
      </c>
      <c r="I1257" s="11" t="inlineStr">
        <is>
          <t>W</t>
        </is>
      </c>
      <c r="J1257" s="10" t="inlineStr">
        <is>
          <t>WPG 3, UTA 5</t>
        </is>
      </c>
      <c r="K1257" s="10" t="inlineStr">
        <is>
          <t>DraftKings closing</t>
        </is>
      </c>
    </row>
    <row r="1258">
      <c r="A1258" s="9" t="n">
        <v>46126</v>
      </c>
      <c r="B1258" s="10" t="inlineStr">
        <is>
          <t>COL @ CGY</t>
        </is>
      </c>
      <c r="C1258" s="13" t="n">
        <v>80.78</v>
      </c>
      <c r="D1258" s="13" t="n">
        <v>77.68000000000001</v>
      </c>
      <c r="E1258" s="13">
        <f>IF(OR(C1258="",D1258=""),"",ABS(C1258-D1258))</f>
        <v/>
      </c>
      <c r="F1258" s="11" t="inlineStr">
        <is>
          <t>COL</t>
        </is>
      </c>
      <c r="G1258" s="12" t="n">
        <v>-155</v>
      </c>
      <c r="H1258" s="14">
        <f>IF(OR(F1258="",G1258="",AND(I1258&lt;&gt;"W",I1258&lt;&gt;"L")),"",IF(I1258="W",IF(G1258&gt;0,G1258/100,1),IF(G1258&lt;0,G1258/100,-1)))</f>
        <v/>
      </c>
      <c r="I1258" s="11" t="inlineStr">
        <is>
          <t>W</t>
        </is>
      </c>
      <c r="J1258" s="10" t="inlineStr">
        <is>
          <t>COL 3, CGY 1</t>
        </is>
      </c>
      <c r="K1258" s="10" t="inlineStr">
        <is>
          <t>DraftKings closing</t>
        </is>
      </c>
    </row>
    <row r="1259">
      <c r="A1259" s="9" t="n">
        <v>46126</v>
      </c>
      <c r="B1259" s="10" t="inlineStr">
        <is>
          <t>PIT @ STL</t>
        </is>
      </c>
      <c r="C1259" s="13" t="n">
        <v>68.18000000000001</v>
      </c>
      <c r="D1259" s="13" t="n">
        <v>73.48999999999999</v>
      </c>
      <c r="E1259" s="13">
        <f>IF(OR(C1259="",D1259=""),"",ABS(C1259-D1259))</f>
        <v/>
      </c>
      <c r="F1259" s="11" t="inlineStr">
        <is>
          <t>STL</t>
        </is>
      </c>
      <c r="G1259" s="12" t="n">
        <v>-218</v>
      </c>
      <c r="H1259" s="14">
        <f>IF(OR(F1259="",G1259="",AND(I1259&lt;&gt;"W",I1259&lt;&gt;"L")),"",IF(I1259="W",IF(G1259&gt;0,G1259/100,1),IF(G1259&lt;0,G1259/100,-1)))</f>
        <v/>
      </c>
      <c r="I1259" s="11" t="inlineStr">
        <is>
          <t>W</t>
        </is>
      </c>
      <c r="J1259" s="10" t="inlineStr">
        <is>
          <t>PIT 5, STL 7</t>
        </is>
      </c>
      <c r="K1259" s="10" t="inlineStr">
        <is>
          <t>DraftKings closing</t>
        </is>
      </c>
    </row>
    <row r="1260">
      <c r="A1260" s="9" t="n">
        <v>46126</v>
      </c>
      <c r="B1260" s="10" t="inlineStr">
        <is>
          <t>LAK @ VAN</t>
        </is>
      </c>
      <c r="C1260" s="13" t="n">
        <v>75.2</v>
      </c>
      <c r="D1260" s="13" t="n">
        <v>67.97</v>
      </c>
      <c r="E1260" s="13">
        <f>IF(OR(C1260="",D1260=""),"",ABS(C1260-D1260))</f>
        <v/>
      </c>
      <c r="F1260" s="11" t="inlineStr">
        <is>
          <t>LAK</t>
        </is>
      </c>
      <c r="G1260" s="12" t="n">
        <v>-162</v>
      </c>
      <c r="H1260" s="14">
        <f>IF(OR(F1260="",G1260="",AND(I1260&lt;&gt;"W",I1260&lt;&gt;"L")),"",IF(I1260="W",IF(G1260&gt;0,G1260/100,1),IF(G1260&lt;0,G1260/100,-1)))</f>
        <v/>
      </c>
      <c r="I1260" s="11" t="inlineStr">
        <is>
          <t>L</t>
        </is>
      </c>
      <c r="J1260" s="10" t="inlineStr">
        <is>
          <t>LAK 3, VAN 4</t>
        </is>
      </c>
      <c r="K1260" s="10" t="inlineStr">
        <is>
          <t>DraftKings closing</t>
        </is>
      </c>
    </row>
    <row r="1261">
      <c r="A1261" s="9" t="n">
        <v>46127</v>
      </c>
      <c r="B1261" s="10" t="inlineStr">
        <is>
          <t>DAL @ BUF</t>
        </is>
      </c>
      <c r="C1261" s="13" t="n">
        <v>74.61</v>
      </c>
      <c r="D1261" s="13" t="n">
        <v>90.05</v>
      </c>
      <c r="E1261" s="13">
        <f>IF(OR(C1261="",D1261=""),"",ABS(C1261-D1261))</f>
        <v/>
      </c>
      <c r="F1261" s="11" t="inlineStr">
        <is>
          <t>BUF</t>
        </is>
      </c>
      <c r="G1261" s="12" t="n">
        <v>124</v>
      </c>
      <c r="H1261" s="14">
        <f>IF(OR(F1261="",G1261="",AND(I1261&lt;&gt;"W",I1261&lt;&gt;"L")),"",IF(I1261="W",IF(G1261&gt;0,G1261/100,1),IF(G1261&lt;0,G1261/100,-1)))</f>
        <v/>
      </c>
      <c r="I1261" s="11" t="inlineStr">
        <is>
          <t>L</t>
        </is>
      </c>
      <c r="J1261" s="10" t="inlineStr">
        <is>
          <t>DAL 4, BUF 3</t>
        </is>
      </c>
      <c r="K1261" s="10" t="inlineStr">
        <is>
          <t>DraftKings closing</t>
        </is>
      </c>
    </row>
    <row r="1262">
      <c r="A1262" s="9" t="n">
        <v>46127</v>
      </c>
      <c r="B1262" s="10" t="inlineStr">
        <is>
          <t>NYR @ TBL</t>
        </is>
      </c>
      <c r="C1262" s="13" t="n">
        <v>70.68000000000001</v>
      </c>
      <c r="D1262" s="13" t="n">
        <v>70.20999999999999</v>
      </c>
      <c r="E1262" s="13">
        <f>IF(OR(C1262="",D1262=""),"",ABS(C1262-D1262))</f>
        <v/>
      </c>
      <c r="F1262" s="11" t="inlineStr">
        <is>
          <t>NYR</t>
        </is>
      </c>
      <c r="G1262" s="12" t="n">
        <v>120</v>
      </c>
      <c r="H1262" s="14">
        <f>IF(OR(F1262="",G1262="",AND(I1262&lt;&gt;"W",I1262&lt;&gt;"L")),"",IF(I1262="W",IF(G1262&gt;0,G1262/100,1),IF(G1262&lt;0,G1262/100,-1)))</f>
        <v/>
      </c>
      <c r="I1262" s="11" t="inlineStr">
        <is>
          <t>W</t>
        </is>
      </c>
      <c r="J1262" s="10" t="inlineStr">
        <is>
          <t>NYR 4, TBL 2</t>
        </is>
      </c>
      <c r="K1262" s="10" t="inlineStr">
        <is>
          <t>DraftKings closing</t>
        </is>
      </c>
    </row>
    <row r="1263">
      <c r="A1263" s="9" t="n">
        <v>46127</v>
      </c>
      <c r="B1263" s="10" t="inlineStr">
        <is>
          <t>DET @ FLA</t>
        </is>
      </c>
      <c r="C1263" s="13" t="n">
        <v>69.79000000000001</v>
      </c>
      <c r="D1263" s="13" t="n">
        <v>69.31999999999999</v>
      </c>
      <c r="E1263" s="13">
        <f>IF(OR(C1263="",D1263=""),"",ABS(C1263-D1263))</f>
        <v/>
      </c>
      <c r="F1263" s="11" t="inlineStr">
        <is>
          <t>DET</t>
        </is>
      </c>
      <c r="G1263" s="12" t="n">
        <v>-175</v>
      </c>
      <c r="H1263" s="14">
        <f>IF(OR(F1263="",G1263="",AND(I1263&lt;&gt;"W",I1263&lt;&gt;"L")),"",IF(I1263="W",IF(G1263&gt;0,G1263/100,1),IF(G1263&lt;0,G1263/100,-1)))</f>
        <v/>
      </c>
      <c r="I1263" s="11" t="inlineStr">
        <is>
          <t>L</t>
        </is>
      </c>
      <c r="J1263" s="10" t="inlineStr">
        <is>
          <t>DET 1, FLA 8</t>
        </is>
      </c>
      <c r="K1263" s="10" t="inlineStr">
        <is>
          <t>DraftKings closing</t>
        </is>
      </c>
    </row>
    <row r="1264">
      <c r="A1264" s="9" t="n">
        <v>46127</v>
      </c>
      <c r="B1264" s="10" t="inlineStr">
        <is>
          <t>TOR @ OTT</t>
        </is>
      </c>
      <c r="C1264" s="13" t="n">
        <v>65.39</v>
      </c>
      <c r="D1264" s="13" t="n">
        <v>65.81</v>
      </c>
      <c r="E1264" s="13">
        <f>IF(OR(C1264="",D1264=""),"",ABS(C1264-D1264))</f>
        <v/>
      </c>
      <c r="F1264" s="11" t="inlineStr">
        <is>
          <t>OTT</t>
        </is>
      </c>
      <c r="G1264" s="12" t="n">
        <v>-198</v>
      </c>
      <c r="H1264" s="14">
        <f>IF(OR(F1264="",G1264="",AND(I1264&lt;&gt;"W",I1264&lt;&gt;"L")),"",IF(I1264="W",IF(G1264&gt;0,G1264/100,1),IF(G1264&lt;0,G1264/100,-1)))</f>
        <v/>
      </c>
      <c r="I1264" s="11" t="inlineStr">
        <is>
          <t>W</t>
        </is>
      </c>
      <c r="J1264" s="10" t="inlineStr">
        <is>
          <t>TOR 1, OTT 3</t>
        </is>
      </c>
      <c r="K1264" s="10" t="inlineStr">
        <is>
          <t>DraftKings closing</t>
        </is>
      </c>
    </row>
    <row r="1265">
      <c r="A1265" s="9" t="n">
        <v>46127</v>
      </c>
      <c r="B1265" s="10" t="inlineStr">
        <is>
          <t>SJS @ CHI</t>
        </is>
      </c>
      <c r="C1265" s="13" t="n">
        <v>69.19</v>
      </c>
      <c r="D1265" s="13" t="n">
        <v>49.95</v>
      </c>
      <c r="E1265" s="13">
        <f>IF(OR(C1265="",D1265=""),"",ABS(C1265-D1265))</f>
        <v/>
      </c>
      <c r="F1265" s="11" t="inlineStr">
        <is>
          <t>SJS</t>
        </is>
      </c>
      <c r="G1265" s="12" t="n">
        <v>-125</v>
      </c>
      <c r="H1265" s="14">
        <f>IF(OR(F1265="",G1265="",AND(I1265&lt;&gt;"W",I1265&lt;&gt;"L")),"",IF(I1265="W",IF(G1265&gt;0,G1265/100,1),IF(G1265&lt;0,G1265/100,-1)))</f>
        <v/>
      </c>
      <c r="I1265" s="11" t="inlineStr">
        <is>
          <t>L</t>
        </is>
      </c>
      <c r="J1265" s="10" t="inlineStr">
        <is>
          <t>SJS 2, CHI 5</t>
        </is>
      </c>
      <c r="K1265" s="10" t="inlineStr">
        <is>
          <t>DraftKings closing</t>
        </is>
      </c>
    </row>
    <row r="1266">
      <c r="A1266" s="9" t="n">
        <v>46127</v>
      </c>
      <c r="B1266" s="10" t="inlineStr">
        <is>
          <t>SEA @ VGK</t>
        </is>
      </c>
      <c r="C1266" s="13" t="n">
        <v>64.8</v>
      </c>
      <c r="D1266" s="13" t="n">
        <v>87.12</v>
      </c>
      <c r="E1266" s="13">
        <f>IF(OR(C1266="",D1266=""),"",ABS(C1266-D1266))</f>
        <v/>
      </c>
      <c r="F1266" s="11" t="inlineStr">
        <is>
          <t>VGK</t>
        </is>
      </c>
      <c r="G1266" s="12" t="n">
        <v>-325</v>
      </c>
      <c r="H1266" s="14">
        <f>IF(OR(F1266="",G1266="",AND(I1266&lt;&gt;"W",I1266&lt;&gt;"L")),"",IF(I1266="W",IF(G1266&gt;0,G1266/100,1),IF(G1266&lt;0,G1266/100,-1)))</f>
        <v/>
      </c>
      <c r="I1266" s="11" t="inlineStr">
        <is>
          <t>W</t>
        </is>
      </c>
      <c r="J1266" s="10" t="inlineStr">
        <is>
          <t>SEA 1, VGK 4</t>
        </is>
      </c>
      <c r="K1266" s="10" t="inlineStr">
        <is>
          <t>DraftKings closing</t>
        </is>
      </c>
    </row>
    <row r="1267">
      <c r="A1267" s="9" t="n">
        <v>46128</v>
      </c>
      <c r="B1267" s="10" t="inlineStr">
        <is>
          <t>STL @ UTA</t>
        </is>
      </c>
      <c r="C1267" s="13" t="n">
        <v>75.84</v>
      </c>
      <c r="D1267" s="13" t="n">
        <v>82.06</v>
      </c>
      <c r="E1267" s="13">
        <f>IF(OR(C1267="",D1267=""),"",ABS(C1267-D1267))</f>
        <v/>
      </c>
      <c r="F1267" s="11" t="inlineStr">
        <is>
          <t>UTA</t>
        </is>
      </c>
      <c r="G1267" s="12" t="n">
        <v>-122</v>
      </c>
      <c r="H1267" s="14">
        <f>IF(OR(F1267="",G1267="",AND(I1267&lt;&gt;"W",I1267&lt;&gt;"L")),"",IF(I1267="W",IF(G1267&gt;0,G1267/100,1),IF(G1267&lt;0,G1267/100,-1)))</f>
        <v/>
      </c>
      <c r="I1267" s="11" t="inlineStr">
        <is>
          <t>L</t>
        </is>
      </c>
      <c r="J1267" s="10" t="inlineStr">
        <is>
          <t>STL 5, UTA 3</t>
        </is>
      </c>
      <c r="K1267" s="10" t="inlineStr">
        <is>
          <t>DraftKings closing</t>
        </is>
      </c>
    </row>
    <row r="1268">
      <c r="A1268" s="9" t="n">
        <v>46128</v>
      </c>
      <c r="B1268" s="10" t="inlineStr">
        <is>
          <t>ANA @ NSH</t>
        </is>
      </c>
      <c r="C1268" s="13" t="n">
        <v>73.66</v>
      </c>
      <c r="D1268" s="13" t="n">
        <v>70.81</v>
      </c>
      <c r="E1268" s="13">
        <f>IF(OR(C1268="",D1268=""),"",ABS(C1268-D1268))</f>
        <v/>
      </c>
      <c r="F1268" s="11" t="inlineStr">
        <is>
          <t>ANA</t>
        </is>
      </c>
      <c r="G1268" s="12" t="n">
        <v>-125</v>
      </c>
      <c r="H1268" s="14">
        <f>IF(OR(F1268="",G1268="",AND(I1268&lt;&gt;"W",I1268&lt;&gt;"L")),"",IF(I1268="W",IF(G1268&gt;0,G1268/100,1),IF(G1268&lt;0,G1268/100,-1)))</f>
        <v/>
      </c>
      <c r="I1268" s="11" t="inlineStr">
        <is>
          <t>W</t>
        </is>
      </c>
      <c r="J1268" s="10" t="inlineStr">
        <is>
          <t>ANA 5, NSH 4</t>
        </is>
      </c>
      <c r="K1268" s="10" t="inlineStr">
        <is>
          <t>DraftKings closing</t>
        </is>
      </c>
    </row>
    <row r="1269">
      <c r="A1269" s="9" t="n">
        <v>46128</v>
      </c>
      <c r="B1269" s="10" t="inlineStr">
        <is>
          <t>SJS @ WPG</t>
        </is>
      </c>
      <c r="C1269" s="13" t="n">
        <v>57.82</v>
      </c>
      <c r="D1269" s="13" t="n">
        <v>57.94</v>
      </c>
      <c r="E1269" s="13">
        <f>IF(OR(C1269="",D1269=""),"",ABS(C1269-D1269))</f>
        <v/>
      </c>
      <c r="F1269" s="11" t="inlineStr">
        <is>
          <t>WPG</t>
        </is>
      </c>
      <c r="G1269" s="12" t="n">
        <v>-162</v>
      </c>
      <c r="H1269" s="14">
        <f>IF(OR(F1269="",G1269="",AND(I1269&lt;&gt;"W",I1269&lt;&gt;"L")),"",IF(I1269="W",IF(G1269&gt;0,G1269/100,1),IF(G1269&lt;0,G1269/100,-1)))</f>
        <v/>
      </c>
      <c r="I1269" s="11" t="inlineStr">
        <is>
          <t>L</t>
        </is>
      </c>
      <c r="J1269" s="10" t="inlineStr">
        <is>
          <t>SJS 6, WPG 1</t>
        </is>
      </c>
      <c r="K1269" s="10" t="inlineStr">
        <is>
          <t>DraftKings closing</t>
        </is>
      </c>
    </row>
    <row r="1270">
      <c r="A1270" s="9" t="n">
        <v>46128</v>
      </c>
      <c r="B1270" s="10" t="inlineStr">
        <is>
          <t>LAK @ CGY</t>
        </is>
      </c>
      <c r="C1270" s="13" t="n">
        <v>74.56</v>
      </c>
      <c r="D1270" s="13" t="n">
        <v>62.52</v>
      </c>
      <c r="E1270" s="13">
        <f>IF(OR(C1270="",D1270=""),"",ABS(C1270-D1270))</f>
        <v/>
      </c>
      <c r="F1270" s="11" t="inlineStr">
        <is>
          <t>LAK</t>
        </is>
      </c>
      <c r="G1270" s="12" t="n">
        <v>-175</v>
      </c>
      <c r="H1270" s="14">
        <f>IF(OR(F1270="",G1270="",AND(I1270&lt;&gt;"W",I1270&lt;&gt;"L")),"",IF(I1270="W",IF(G1270&gt;0,G1270/100,1),IF(G1270&lt;0,G1270/100,-1)))</f>
        <v/>
      </c>
      <c r="I1270" s="11" t="inlineStr">
        <is>
          <t>L</t>
        </is>
      </c>
      <c r="J1270" s="10" t="inlineStr">
        <is>
          <t>LAK 1, CGY 3</t>
        </is>
      </c>
      <c r="K1270" s="10" t="inlineStr">
        <is>
          <t>DraftKings closing</t>
        </is>
      </c>
    </row>
    <row r="1271">
      <c r="A1271" s="9" t="n">
        <v>46128</v>
      </c>
      <c r="B1271" s="10" t="inlineStr">
        <is>
          <t>VAN @ EDM</t>
        </is>
      </c>
      <c r="C1271" s="13" t="n">
        <v>65.44</v>
      </c>
      <c r="D1271" s="13" t="n">
        <v>59.22</v>
      </c>
      <c r="E1271" s="13">
        <f>IF(OR(C1271="",D1271=""),"",ABS(C1271-D1271))</f>
        <v/>
      </c>
      <c r="F1271" s="11" t="inlineStr">
        <is>
          <t>VAN</t>
        </is>
      </c>
      <c r="G1271" s="12" t="n">
        <v>280</v>
      </c>
      <c r="H1271" s="14">
        <f>IF(OR(F1271="",G1271="",AND(I1271&lt;&gt;"W",I1271&lt;&gt;"L")),"",IF(I1271="W",IF(G1271&gt;0,G1271/100,1),IF(G1271&lt;0,G1271/100,-1)))</f>
        <v/>
      </c>
      <c r="I1271" s="11" t="inlineStr">
        <is>
          <t>L</t>
        </is>
      </c>
      <c r="J1271" s="10" t="inlineStr">
        <is>
          <t>VAN 1, EDM 6</t>
        </is>
      </c>
      <c r="K1271" s="10" t="inlineStr">
        <is>
          <t>DraftKings closing</t>
        </is>
      </c>
    </row>
    <row r="1272">
      <c r="A1272" s="9" t="n">
        <v>46128</v>
      </c>
      <c r="B1272" s="10" t="inlineStr">
        <is>
          <t>SEA @ COL</t>
        </is>
      </c>
      <c r="C1272" s="13" t="n">
        <v>53.42</v>
      </c>
      <c r="D1272" s="13" t="n">
        <v>77.48</v>
      </c>
      <c r="E1272" s="13">
        <f>IF(OR(C1272="",D1272=""),"",ABS(C1272-D1272))</f>
        <v/>
      </c>
      <c r="F1272" s="11" t="inlineStr">
        <is>
          <t>COL</t>
        </is>
      </c>
      <c r="G1272" s="12" t="n">
        <v>-218</v>
      </c>
      <c r="H1272" s="14">
        <f>IF(OR(F1272="",G1272="",AND(I1272&lt;&gt;"W",I1272&lt;&gt;"L")),"",IF(I1272="W",IF(G1272&gt;0,G1272/100,1),IF(G1272&lt;0,G1272/100,-1)))</f>
        <v/>
      </c>
      <c r="I1272" s="11" t="inlineStr">
        <is>
          <t>W</t>
        </is>
      </c>
      <c r="J1272" s="10" t="inlineStr">
        <is>
          <t>SEA 0, COL 2</t>
        </is>
      </c>
      <c r="K1272" s="10" t="inlineStr">
        <is>
          <t>DraftKings closing</t>
        </is>
      </c>
    </row>
  </sheetData>
  <autoFilter ref="A8:K1272"/>
  <conditionalFormatting sqref="A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9:H1272">
    <cfRule type="cellIs" priority="3" operator="greaterThan" dxfId="2">
      <formula>0</formula>
    </cfRule>
    <cfRule type="cellIs" priority="4" operator="less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2" t="inlineStr">
        <is>
          <t>How it works</t>
        </is>
      </c>
    </row>
    <row r="2">
      <c r="A2" s="23" t="inlineStr">
        <is>
          <t>System</t>
        </is>
      </c>
      <c r="B2" s="24" t="inlineStr">
        <is>
          <t>In every game, pick the team whose team score was higher in its own previous game that season.</t>
        </is>
      </c>
    </row>
    <row r="3">
      <c r="A3" s="23" t="inlineStr">
        <is>
          <t>Team score</t>
        </is>
      </c>
      <c r="B3" s="24" t="inlineStr">
        <is>
          <t>The website's formula and constants (dashboard_template.html, teamScore): 70 + 2.896 x goal difference (no empty-net goals, no shootout) + 1.997 x expected goals difference + 0.294 x score-adjusted 5-on-5 shot attempt difference, kept between 0 and 100. The constants were fitted on every game of 2025-26 (all 32 teams) and aren't refitted.</t>
        </is>
      </c>
    </row>
    <row r="4">
      <c r="A4" s="23" t="inlineStr">
        <is>
          <t>Units</t>
        </is>
      </c>
      <c r="B4" s="24" t="inlineStr">
        <is>
          <t>Win on a minus line = +1. Win on a plus line = line / 100 (e.g. +240 wins 2.4). Loss on a minus line = line / 100 (e.g. -240 loses 2.4). Loss on a plus line = -1. Results include overtime and the shootout.</t>
        </is>
      </c>
    </row>
    <row r="5">
      <c r="A5" s="23" t="inlineStr">
        <is>
          <t>Lines</t>
        </is>
      </c>
      <c r="B5" s="24" t="inlineStr">
        <is>
          <t>From ESPN's free odds feed: DraftKings, or ESPN BET where DraftKings isn't listed. Oct 6-21, 2026 and all of 2025-26 use closing lines. From Oct 22, 2026, every game is picked 2 hours before the day's first game at the line right then, and units are graded on that line. A game without a line at that time gets its closing line, and the Line source column says so.</t>
        </is>
      </c>
    </row>
    <row r="6">
      <c r="A6" s="23" t="inlineStr">
        <is>
          <t>Daily schedule</t>
        </is>
      </c>
      <c r="B6" s="24" t="inlineStr">
        <is>
          <t>Every morning after 6 am Central: last night's games are scored and graded, and the rule is reset. Two hours before the day's first game: every game is picked, this file is rebuilt and emailed.</t>
        </is>
      </c>
    </row>
    <row r="7">
      <c r="A7" s="23" t="inlineStr">
        <is>
          <t>The daily rule</t>
        </is>
      </c>
      <c r="B7" s="24" t="inlineStr">
        <is>
          <t>Every rule of the form 'line from X to Y, differential from A up to B, home picks / away picks / either' is tried on every graded 2026-27 pick up to that morning, with every line and every differential seen so far as a possible cut point, and the one that would have made the most units wins (ties go to the rule with more bets). A bound at the edge of the lines seen so far is left open. 'Fits that day's rule' marks the picks it chose.</t>
        </is>
      </c>
    </row>
    <row r="8">
      <c r="A8" s="23" t="inlineStr">
        <is>
          <t>Caution</t>
        </is>
      </c>
      <c r="B8" s="24" t="inlineStr">
        <is>
          <t>The daily rule is the best fit to the past by construction, so its record always looks good. The honest test is the Dynamic Bet Results tab: only the picks that were emailed under each day's rule, before their games, at the line in the email. On 2025-26, rules found this way didn't carry over from one half of the season to the other or to 2026-27.</t>
        </is>
      </c>
    </row>
    <row r="9">
      <c r="A9" s="23" t="inlineStr">
        <is>
          <t>Sources</t>
        </is>
      </c>
      <c r="B9" s="24" t="inlineStr">
        <is>
          <t>Game data: NHL public API (api-web.nhle.com). Odds: ESPN public API. Updated 2026-10-31 10:00 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2026-10-31T15:00:32Z</dcterms:created>
  <dcterms:modified xsi:type="dcterms:W3CDTF">2026-10-31T15:00:33Z</dcterms:modified>
</cp:coreProperties>
</file>