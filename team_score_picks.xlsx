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Results'!$A$8:$I$29</definedName>
    <definedName name="_xlnm._FilterDatabase" localSheetId="1" hidden="1">'2026-27'!$A$8:$L$167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SUM(F9:F29)</f>
        <v/>
      </c>
      <c r="C5" s="5">
        <f>IFERROR(COUNTIF(G9:G29,"W")/(COUNTIF(G9:G29,"W")+COUNTIF(G9:G29,"L")),"")</f>
        <v/>
      </c>
      <c r="E5" s="6">
        <f>COUNTIF(G9:G29,"W")&amp;"-"&amp;COUNTIF(G9:G29,"L")</f>
        <v/>
      </c>
      <c r="G5" s="7">
        <f>COUNTIF(G9:G29,"W")+COUNTIF(G9:G29,"L")</f>
        <v/>
      </c>
      <c r="I5" s="7">
        <f>COUNTA(B9:B29)-COUNTIF(G9:G29,"W")-COUNTIF(G9:G29,"L")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>
        <is>
          <t>L</t>
        </is>
      </c>
      <c r="H25" s="10" t="inlineStr">
        <is>
          <t>LAK 6, NYR 3</t>
        </is>
      </c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>
        <is>
          <t>L</t>
        </is>
      </c>
      <c r="H26" s="10" t="inlineStr">
        <is>
          <t>TOR 2, CGY 5</t>
        </is>
      </c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>
        <is>
          <t>W</t>
        </is>
      </c>
      <c r="H27" s="10" t="inlineStr">
        <is>
          <t>DET 4, EDM 3</t>
        </is>
      </c>
      <c r="I27" s="10" t="inlineStr">
        <is>
          <t>Bet the pick when it has a line from -198 to +150 and a differential of 14.61 or less; home or away.</t>
        </is>
      </c>
    </row>
    <row r="28">
      <c r="A28" s="9" t="n">
        <v>46323</v>
      </c>
      <c r="B28" s="10" t="inlineStr">
        <is>
          <t>CGY @ EDM</t>
        </is>
      </c>
      <c r="C28" s="11" t="inlineStr">
        <is>
          <t>CGY</t>
        </is>
      </c>
      <c r="D28" s="12" t="n">
        <v>150</v>
      </c>
      <c r="E28" s="13" t="n">
        <v>11.66</v>
      </c>
      <c r="F28" s="14">
        <f>IF(AND(G28&lt;&gt;"W",G28&lt;&gt;"L"),"",IF(G28="W",IF(D28&gt;0,D28/100,1),IF(D28&lt;0,D28/100,-1)))</f>
        <v/>
      </c>
      <c r="G28" s="11" t="inlineStr">
        <is>
          <t>L</t>
        </is>
      </c>
      <c r="H28" s="10" t="inlineStr">
        <is>
          <t>CGY 0, EDM 4</t>
        </is>
      </c>
      <c r="I28" s="10" t="inlineStr">
        <is>
          <t>Bet the pick when it has a line from -198 to +150 and a differential of 14.61 or less; home or away.</t>
        </is>
      </c>
    </row>
    <row r="29">
      <c r="A29" s="9" t="n">
        <v>46323</v>
      </c>
      <c r="B29" s="10" t="inlineStr">
        <is>
          <t>TOR @ SEA</t>
        </is>
      </c>
      <c r="C29" s="11" t="inlineStr">
        <is>
          <t>TOR</t>
        </is>
      </c>
      <c r="D29" s="12" t="n">
        <v>-135</v>
      </c>
      <c r="E29" s="13" t="n">
        <v>8.119999999999999</v>
      </c>
      <c r="F29" s="14">
        <f>IF(AND(G29&lt;&gt;"W",G29&lt;&gt;"L"),"",IF(G29="W",IF(D29&gt;0,D29/100,1),IF(D29&lt;0,D29/100,-1)))</f>
        <v/>
      </c>
      <c r="G29" s="11" t="inlineStr">
        <is>
          <t>L</t>
        </is>
      </c>
      <c r="H29" s="10" t="inlineStr">
        <is>
          <t>TOR 4, SEA 5</t>
        </is>
      </c>
      <c r="I29" s="10" t="inlineStr">
        <is>
          <t>Bet the pick when it has a line from -198 to +150 and a differential of 14.61 or less; home or away.</t>
        </is>
      </c>
    </row>
  </sheetData>
  <autoFilter ref="A8:I29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9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SUM(H9:H167)</f>
        <v/>
      </c>
      <c r="C5" s="5">
        <f>IFERROR(COUNTIF(I9:I167,"W")/(COUNTIF(I9:I167,"W")+COUNTIF(I9:I167,"L")),"")</f>
        <v/>
      </c>
      <c r="E5" s="6">
        <f>COUNTIF(I9:I167,"W")&amp;"-"&amp;COUNTIF(I9:I167,"L")</f>
        <v/>
      </c>
      <c r="G5" s="7">
        <f>COUNTIF(I9:I167,"W")+COUNTIF(I9:I167,"L")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LAK 6, NYR 3</t>
        </is>
      </c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TOR 2, CGY 5</t>
        </is>
      </c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DET 4, EDM 3</t>
        </is>
      </c>
      <c r="K152" s="10" t="inlineStr">
        <is>
          <t>DraftKings at pick time (4:00 PM CT)</t>
        </is>
      </c>
      <c r="L152" s="11" t="inlineStr">
        <is>
          <t>Yes</t>
        </is>
      </c>
    </row>
    <row r="153">
      <c r="A153" s="9" t="n">
        <v>46322</v>
      </c>
      <c r="B153" s="10" t="inlineStr">
        <is>
          <t>CBJ @ PHI</t>
        </is>
      </c>
      <c r="C153" s="13" t="n">
        <v>71.97</v>
      </c>
      <c r="D153" s="13" t="n">
        <v>65.64</v>
      </c>
      <c r="E153" s="13">
        <f>IF(OR(C153="",D153=""),"",ABS(C153-D153))</f>
        <v/>
      </c>
      <c r="F153" s="11" t="inlineStr">
        <is>
          <t>CBJ</t>
        </is>
      </c>
      <c r="G153" s="12" t="n"/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CBJ 4, PHI 3</t>
        </is>
      </c>
      <c r="K153" s="10" t="inlineStr">
        <is>
          <t>no line at pick time</t>
        </is>
      </c>
      <c r="L153" s="11" t="inlineStr">
        <is>
          <t>No</t>
        </is>
      </c>
    </row>
    <row r="154">
      <c r="A154" s="9" t="n">
        <v>46322</v>
      </c>
      <c r="B154" s="10" t="inlineStr">
        <is>
          <t>BOS @ CAR</t>
        </is>
      </c>
      <c r="C154" s="13" t="n">
        <v>83.38</v>
      </c>
      <c r="D154" s="13" t="n">
        <v>90.53</v>
      </c>
      <c r="E154" s="13">
        <f>IF(OR(C154="",D154=""),"",ABS(C154-D154))</f>
        <v/>
      </c>
      <c r="F154" s="11" t="inlineStr">
        <is>
          <t>CAR</t>
        </is>
      </c>
      <c r="G154" s="12" t="n"/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BOS 1, CAR 2</t>
        </is>
      </c>
      <c r="K154" s="10" t="inlineStr">
        <is>
          <t>no line at pick time</t>
        </is>
      </c>
      <c r="L154" s="11" t="inlineStr">
        <is>
          <t>No</t>
        </is>
      </c>
    </row>
    <row r="155">
      <c r="A155" s="9" t="n">
        <v>46322</v>
      </c>
      <c r="B155" s="10" t="inlineStr">
        <is>
          <t>LAK @ CHI</t>
        </is>
      </c>
      <c r="C155" s="13" t="n">
        <v>77.3</v>
      </c>
      <c r="D155" s="13" t="n">
        <v>61.34</v>
      </c>
      <c r="E155" s="13">
        <f>IF(OR(C155="",D155=""),"",ABS(C155-D155))</f>
        <v/>
      </c>
      <c r="F155" s="11" t="inlineStr">
        <is>
          <t>LAK</t>
        </is>
      </c>
      <c r="G155" s="12" t="n"/>
      <c r="H155" s="14">
        <f>IF(OR(F155="",G155="",AND(I155&lt;&gt;"W",I155&lt;&gt;"L")),"",IF(I155="W",IF(G155&gt;0,G155/100,1),IF(G155&lt;0,G155/100,-1)))</f>
        <v/>
      </c>
      <c r="I155" s="11" t="inlineStr">
        <is>
          <t>L</t>
        </is>
      </c>
      <c r="J155" s="10" t="inlineStr">
        <is>
          <t>LAK 1, CHI 2</t>
        </is>
      </c>
      <c r="K155" s="10" t="inlineStr">
        <is>
          <t>no line at pick time</t>
        </is>
      </c>
      <c r="L155" s="11" t="inlineStr">
        <is>
          <t>No</t>
        </is>
      </c>
    </row>
    <row r="156">
      <c r="A156" s="9" t="n">
        <v>46322</v>
      </c>
      <c r="B156" s="10" t="inlineStr">
        <is>
          <t>MTL @ STL</t>
        </is>
      </c>
      <c r="C156" s="13" t="n">
        <v>72.45999999999999</v>
      </c>
      <c r="D156" s="13" t="n">
        <v>49.47</v>
      </c>
      <c r="E156" s="13">
        <f>IF(OR(C156="",D156=""),"",ABS(C156-D156))</f>
        <v/>
      </c>
      <c r="F156" s="11" t="inlineStr">
        <is>
          <t>MTL</t>
        </is>
      </c>
      <c r="G156" s="12" t="n"/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MTL 2, STL 0</t>
        </is>
      </c>
      <c r="K156" s="10" t="inlineStr">
        <is>
          <t>no line at pick time</t>
        </is>
      </c>
      <c r="L156" s="11" t="inlineStr">
        <is>
          <t>No</t>
        </is>
      </c>
    </row>
    <row r="157">
      <c r="A157" s="9" t="n">
        <v>46322</v>
      </c>
      <c r="B157" s="10" t="inlineStr">
        <is>
          <t>NYI @ NSH</t>
        </is>
      </c>
      <c r="C157" s="13" t="n">
        <v>49.58</v>
      </c>
      <c r="D157" s="13" t="n">
        <v>86.8</v>
      </c>
      <c r="E157" s="13">
        <f>IF(OR(C157="",D157=""),"",ABS(C157-D157))</f>
        <v/>
      </c>
      <c r="F157" s="11" t="inlineStr">
        <is>
          <t>NSH</t>
        </is>
      </c>
      <c r="G157" s="12" t="n"/>
      <c r="H157" s="14">
        <f>IF(OR(F157="",G157="",AND(I157&lt;&gt;"W",I157&lt;&gt;"L")),"",IF(I157="W",IF(G157&gt;0,G157/100,1),IF(G157&lt;0,G157/100,-1)))</f>
        <v/>
      </c>
      <c r="I157" s="11" t="inlineStr">
        <is>
          <t>L</t>
        </is>
      </c>
      <c r="J157" s="10" t="inlineStr">
        <is>
          <t>NYI 4, NSH 3</t>
        </is>
      </c>
      <c r="K157" s="10" t="inlineStr">
        <is>
          <t>no line at pick time</t>
        </is>
      </c>
      <c r="L157" s="11" t="inlineStr">
        <is>
          <t>No</t>
        </is>
      </c>
    </row>
    <row r="158">
      <c r="A158" s="9" t="n">
        <v>46322</v>
      </c>
      <c r="B158" s="10" t="inlineStr">
        <is>
          <t>NJD @ DAL</t>
        </is>
      </c>
      <c r="C158" s="13" t="n">
        <v>81.52</v>
      </c>
      <c r="D158" s="13" t="n">
        <v>90.42</v>
      </c>
      <c r="E158" s="13">
        <f>IF(OR(C158="",D158=""),"",ABS(C158-D158))</f>
        <v/>
      </c>
      <c r="F158" s="11" t="inlineStr">
        <is>
          <t>DAL</t>
        </is>
      </c>
      <c r="G158" s="12" t="n"/>
      <c r="H158" s="14">
        <f>IF(OR(F158="",G158="",AND(I158&lt;&gt;"W",I158&lt;&gt;"L")),"",IF(I158="W",IF(G158&gt;0,G158/100,1),IF(G158&lt;0,G158/100,-1)))</f>
        <v/>
      </c>
      <c r="I158" s="11" t="inlineStr">
        <is>
          <t>L</t>
        </is>
      </c>
      <c r="J158" s="10" t="inlineStr">
        <is>
          <t>NJD 5, DAL 1</t>
        </is>
      </c>
      <c r="K158" s="10" t="inlineStr">
        <is>
          <t>no line at pick time</t>
        </is>
      </c>
      <c r="L158" s="11" t="inlineStr">
        <is>
          <t>No</t>
        </is>
      </c>
    </row>
    <row r="159">
      <c r="A159" s="9" t="n">
        <v>46322</v>
      </c>
      <c r="B159" s="10" t="inlineStr">
        <is>
          <t>FLA @ WPG</t>
        </is>
      </c>
      <c r="C159" s="13" t="n">
        <v>78.66</v>
      </c>
      <c r="D159" s="13" t="n">
        <v>67.54000000000001</v>
      </c>
      <c r="E159" s="13">
        <f>IF(OR(C159="",D159=""),"",ABS(C159-D159))</f>
        <v/>
      </c>
      <c r="F159" s="11" t="inlineStr">
        <is>
          <t>FLA</t>
        </is>
      </c>
      <c r="G159" s="12" t="n"/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FLA 5, WPG 1</t>
        </is>
      </c>
      <c r="K159" s="10" t="inlineStr">
        <is>
          <t>no line at pick time</t>
        </is>
      </c>
      <c r="L159" s="11" t="inlineStr">
        <is>
          <t>No</t>
        </is>
      </c>
    </row>
    <row r="160">
      <c r="A160" s="9" t="n">
        <v>46322</v>
      </c>
      <c r="B160" s="10" t="inlineStr">
        <is>
          <t>MIN @ UTA</t>
        </is>
      </c>
      <c r="C160" s="13" t="n">
        <v>88.37</v>
      </c>
      <c r="D160" s="13" t="n">
        <v>72.31</v>
      </c>
      <c r="E160" s="13">
        <f>IF(OR(C160="",D160=""),"",ABS(C160-D160))</f>
        <v/>
      </c>
      <c r="F160" s="11" t="inlineStr">
        <is>
          <t>MIN</t>
        </is>
      </c>
      <c r="G160" s="12" t="n"/>
      <c r="H160" s="14">
        <f>IF(OR(F160="",G160="",AND(I160&lt;&gt;"W",I160&lt;&gt;"L")),"",IF(I160="W",IF(G160&gt;0,G160/100,1),IF(G160&lt;0,G160/100,-1)))</f>
        <v/>
      </c>
      <c r="I160" s="11" t="inlineStr">
        <is>
          <t>W</t>
        </is>
      </c>
      <c r="J160" s="10" t="inlineStr">
        <is>
          <t>MIN 3, UTA 1</t>
        </is>
      </c>
      <c r="K160" s="10" t="inlineStr">
        <is>
          <t>no line at pick time</t>
        </is>
      </c>
      <c r="L160" s="11" t="inlineStr">
        <is>
          <t>No</t>
        </is>
      </c>
    </row>
    <row r="161">
      <c r="A161" s="9" t="n">
        <v>46322</v>
      </c>
      <c r="B161" s="10" t="inlineStr">
        <is>
          <t>OTT @ VGK</t>
        </is>
      </c>
      <c r="C161" s="13" t="n">
        <v>68.69</v>
      </c>
      <c r="D161" s="13" t="n">
        <v>68.03</v>
      </c>
      <c r="E161" s="13">
        <f>IF(OR(C161="",D161=""),"",ABS(C161-D161))</f>
        <v/>
      </c>
      <c r="F161" s="11" t="inlineStr">
        <is>
          <t>OTT</t>
        </is>
      </c>
      <c r="G161" s="12" t="n"/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OTT 1, VGK 4</t>
        </is>
      </c>
      <c r="K161" s="10" t="inlineStr">
        <is>
          <t>no line at pick time</t>
        </is>
      </c>
      <c r="L161" s="11" t="inlineStr">
        <is>
          <t>No</t>
        </is>
      </c>
    </row>
    <row r="162">
      <c r="A162" s="9" t="n">
        <v>46322</v>
      </c>
      <c r="B162" s="10" t="inlineStr">
        <is>
          <t>VAN @ ANA</t>
        </is>
      </c>
      <c r="C162" s="13" t="n">
        <v>51.63</v>
      </c>
      <c r="D162" s="13" t="n">
        <v>74.36</v>
      </c>
      <c r="E162" s="13">
        <f>IF(OR(C162="",D162=""),"",ABS(C162-D162))</f>
        <v/>
      </c>
      <c r="F162" s="11" t="inlineStr">
        <is>
          <t>ANA</t>
        </is>
      </c>
      <c r="G162" s="12" t="n"/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VAN 6, ANA 5</t>
        </is>
      </c>
      <c r="K162" s="10" t="inlineStr">
        <is>
          <t>no line at pick time</t>
        </is>
      </c>
      <c r="L162" s="11" t="inlineStr">
        <is>
          <t>No</t>
        </is>
      </c>
    </row>
    <row r="163">
      <c r="A163" s="9" t="n">
        <v>46322</v>
      </c>
      <c r="B163" s="10" t="inlineStr">
        <is>
          <t>BUF @ SJS</t>
        </is>
      </c>
      <c r="C163" s="13" t="n">
        <v>63.39</v>
      </c>
      <c r="D163" s="13" t="n">
        <v>56.62</v>
      </c>
      <c r="E163" s="13">
        <f>IF(OR(C163="",D163=""),"",ABS(C163-D163))</f>
        <v/>
      </c>
      <c r="F163" s="11" t="inlineStr">
        <is>
          <t>BUF</t>
        </is>
      </c>
      <c r="G163" s="12" t="n"/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BUF 2, SJS 0</t>
        </is>
      </c>
      <c r="K163" s="10" t="inlineStr">
        <is>
          <t>no line at pick time</t>
        </is>
      </c>
      <c r="L163" s="11" t="inlineStr">
        <is>
          <t>No</t>
        </is>
      </c>
    </row>
    <row r="164">
      <c r="A164" s="9" t="n">
        <v>46323</v>
      </c>
      <c r="B164" s="10" t="inlineStr">
        <is>
          <t>PHI @ WSH</t>
        </is>
      </c>
      <c r="C164" s="13" t="n">
        <v>75.98999999999999</v>
      </c>
      <c r="D164" s="13" t="n">
        <v>76.61</v>
      </c>
      <c r="E164" s="13">
        <f>IF(OR(C164="",D164=""),"",ABS(C164-D164))</f>
        <v/>
      </c>
      <c r="F164" s="11" t="inlineStr">
        <is>
          <t>WSH</t>
        </is>
      </c>
      <c r="G164" s="12" t="n">
        <v>-245</v>
      </c>
      <c r="H164" s="14">
        <f>IF(OR(F164="",G164="",AND(I164&lt;&gt;"W",I164&lt;&gt;"L")),"",IF(I164="W",IF(G164&gt;0,G164/100,1),IF(G164&lt;0,G164/100,-1)))</f>
        <v/>
      </c>
      <c r="I164" s="11" t="inlineStr">
        <is>
          <t>W</t>
        </is>
      </c>
      <c r="J164" s="10" t="inlineStr">
        <is>
          <t>PHI 2, WSH 5</t>
        </is>
      </c>
      <c r="K164" s="10" t="inlineStr">
        <is>
          <t>DraftKings at pick time (4:30 PM CT)</t>
        </is>
      </c>
      <c r="L164" s="11" t="inlineStr">
        <is>
          <t>No</t>
        </is>
      </c>
    </row>
    <row r="165">
      <c r="A165" s="9" t="n">
        <v>46323</v>
      </c>
      <c r="B165" s="10" t="inlineStr">
        <is>
          <t>CGY @ EDM</t>
        </is>
      </c>
      <c r="C165" s="13" t="n">
        <v>82.02</v>
      </c>
      <c r="D165" s="13" t="n">
        <v>70.36</v>
      </c>
      <c r="E165" s="13">
        <f>IF(OR(C165="",D165=""),"",ABS(C165-D165))</f>
        <v/>
      </c>
      <c r="F165" s="11" t="inlineStr">
        <is>
          <t>CGY</t>
        </is>
      </c>
      <c r="G165" s="12" t="n">
        <v>150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CGY 0, EDM 4</t>
        </is>
      </c>
      <c r="K165" s="10" t="inlineStr">
        <is>
          <t>DraftKings at pick time (4:30 PM CT)</t>
        </is>
      </c>
      <c r="L165" s="11" t="inlineStr">
        <is>
          <t>Yes</t>
        </is>
      </c>
    </row>
    <row r="166">
      <c r="A166" s="9" t="n">
        <v>46323</v>
      </c>
      <c r="B166" s="10" t="inlineStr">
        <is>
          <t>NJD @ COL</t>
        </is>
      </c>
      <c r="C166" s="13" t="n">
        <v>87.98</v>
      </c>
      <c r="D166" s="13" t="n">
        <v>53.2</v>
      </c>
      <c r="E166" s="13">
        <f>IF(OR(C166="",D166=""),"",ABS(C166-D166))</f>
        <v/>
      </c>
      <c r="F166" s="11" t="inlineStr">
        <is>
          <t>NJD</t>
        </is>
      </c>
      <c r="G166" s="12" t="n">
        <v>124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NJD 2, COL 5</t>
        </is>
      </c>
      <c r="K166" s="10" t="inlineStr">
        <is>
          <t>DraftKings at pick time (4:30 PM CT)</t>
        </is>
      </c>
      <c r="L166" s="11" t="inlineStr">
        <is>
          <t>No</t>
        </is>
      </c>
    </row>
    <row r="167">
      <c r="A167" s="9" t="n">
        <v>46323</v>
      </c>
      <c r="B167" s="10" t="inlineStr">
        <is>
          <t>TOR @ SEA</t>
        </is>
      </c>
      <c r="C167" s="13" t="n">
        <v>57.98</v>
      </c>
      <c r="D167" s="13" t="n">
        <v>49.86</v>
      </c>
      <c r="E167" s="13">
        <f>IF(OR(C167="",D167=""),"",ABS(C167-D167))</f>
        <v/>
      </c>
      <c r="F167" s="11" t="inlineStr">
        <is>
          <t>TOR</t>
        </is>
      </c>
      <c r="G167" s="12" t="n">
        <v>-135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TOR 4, SEA 5</t>
        </is>
      </c>
      <c r="K167" s="10" t="inlineStr">
        <is>
          <t>DraftKings at pick time (4:30 PM CT)</t>
        </is>
      </c>
      <c r="L167" s="11" t="inlineStr">
        <is>
          <t>Yes</t>
        </is>
      </c>
    </row>
  </sheetData>
  <autoFilter ref="A8:L167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67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  <row r="10">
      <c r="A10" s="16" t="n">
        <v>46322</v>
      </c>
      <c r="B10" s="17" t="inlineStr">
        <is>
          <t>Bet the pick when it has a line from -198 to +150 and a differential of 14.61 or less; home or away.</t>
        </is>
      </c>
      <c r="C10" s="18" t="inlineStr">
        <is>
          <t>51-21, +28.01 units</t>
        </is>
      </c>
      <c r="D10" s="18" t="inlineStr">
        <is>
          <t>86-56, +14.32 units</t>
        </is>
      </c>
      <c r="E10" s="19">
        <f>COUNTIFS('Dynamic Bet Results'!$A$9:$A$5000,A10)</f>
        <v/>
      </c>
      <c r="F10" s="20">
        <f>COUNTIFS('Dynamic Bet Results'!$A$9:$A$5000,A10,'Dynamic Bet Results'!$G$9:$G$5000,"W")&amp;"-"&amp;COUNTIFS('Dynamic Bet Results'!$A$9:$A$5000,A10,'Dynamic Bet Results'!$G$9:$G$5000,"L")</f>
        <v/>
      </c>
      <c r="G10" s="21">
        <f>SUMIFS('Dynamic Bet Results'!$F$9:$F$5000,'Dynamic Bet Results'!$A$9:$A$5000,A10)</f>
        <v/>
      </c>
    </row>
    <row r="11">
      <c r="A11" s="16" t="n">
        <v>46323</v>
      </c>
      <c r="B11" s="17" t="inlineStr">
        <is>
          <t>Bet the pick when it has a line from -198 to +150 and a differential of 14.61 or less; home or away.</t>
        </is>
      </c>
      <c r="C11" s="18" t="inlineStr">
        <is>
          <t>51-21, +28.01 units</t>
        </is>
      </c>
      <c r="D11" s="18" t="inlineStr">
        <is>
          <t>86-56, +14.32 units</t>
        </is>
      </c>
      <c r="E11" s="19">
        <f>COUNTIFS('Dynamic Bet Results'!$A$9:$A$5000,A11)</f>
        <v/>
      </c>
      <c r="F11" s="20">
        <f>COUNTIFS('Dynamic Bet Results'!$A$9:$A$5000,A11,'Dynamic Bet Results'!$G$9:$G$5000,"W")&amp;"-"&amp;COUNTIFS('Dynamic Bet Results'!$A$9:$A$5000,A11,'Dynamic Bet Results'!$G$9:$G$5000,"L")</f>
        <v/>
      </c>
      <c r="G11" s="21">
        <f>SUMIFS('Dynamic Bet Results'!$F$9:$F$5000,'Dynamic Bet Results'!$A$9:$A$5000,A11)</f>
        <v/>
      </c>
    </row>
    <row r="12">
      <c r="A12" s="16" t="n">
        <v>46324</v>
      </c>
      <c r="B12" s="17" t="inlineStr">
        <is>
          <t>Bet the pick when it has a line from -198 to +150 and a differential of 14.61 or less; home or away.</t>
        </is>
      </c>
      <c r="C12" s="18" t="inlineStr">
        <is>
          <t>51-23, +25.66 units</t>
        </is>
      </c>
      <c r="D12" s="18" t="inlineStr">
        <is>
          <t>87-59, +11.97 units</t>
        </is>
      </c>
      <c r="E12" s="19">
        <f>COUNTIFS('Dynamic Bet Results'!$A$9:$A$5000,A12)</f>
        <v/>
      </c>
      <c r="F12" s="20">
        <f>COUNTIFS('Dynamic Bet Results'!$A$9:$A$5000,A12,'Dynamic Bet Results'!$G$9:$G$5000,"W")&amp;"-"&amp;COUNTIFS('Dynamic Bet Results'!$A$9:$A$5000,A12,'Dynamic Bet Results'!$G$9:$G$5000,"L")</f>
        <v/>
      </c>
      <c r="G12" s="21">
        <f>SUMIFS('Dynamic Bet Results'!$F$9:$F$5000,'Dynamic Bet Results'!$A$9:$A$5000,A12)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2026-10-29 06:00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2026-10-29T11:00:30Z</dcterms:created>
  <dcterms:modified xsi:type="dcterms:W3CDTF">2026-10-29T11:00:31Z</dcterms:modified>
</cp:coreProperties>
</file>