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Results'!$A$8:$I$27</definedName>
    <definedName name="_xlnm._FilterDatabase" localSheetId="1" hidden="1">'2026-27'!$A$8:$L$152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SUM(F9:F27)</f>
        <v/>
      </c>
      <c r="C5" s="5">
        <f>IFERROR(COUNTIF(G9:G27,"W")/(COUNTIF(G9:G27,"W")+COUNTIF(G9:G27,"L")),"")</f>
        <v/>
      </c>
      <c r="E5" s="6">
        <f>COUNTIF(G9:G27,"W")&amp;"-"&amp;COUNTIF(G9:G27,"L")</f>
        <v/>
      </c>
      <c r="G5" s="7">
        <f>COUNTIF(G9:G27,"W")+COUNTIF(G9:G27,"L")</f>
        <v/>
      </c>
      <c r="I5" s="7">
        <f>COUNTA(B9:B27)-COUNTIF(G9:G27,"W")-COUNTIF(G9:G27,"L")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/>
      <c r="H25" s="10" t="inlineStr"/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/>
      <c r="H26" s="10" t="inlineStr"/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/>
      <c r="H27" s="10" t="inlineStr"/>
      <c r="I27" s="10" t="inlineStr">
        <is>
          <t>Bet the pick when it has a line from -198 to +150 and a differential of 14.61 or less; home or away.</t>
        </is>
      </c>
    </row>
  </sheetData>
  <autoFilter ref="A8:I2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SUM(H9:H152)</f>
        <v/>
      </c>
      <c r="C5" s="5">
        <f>IFERROR(COUNTIF(I9:I152,"W")/(COUNTIF(I9:I152,"W")+COUNTIF(I9:I152,"L")),"")</f>
        <v/>
      </c>
      <c r="E5" s="6">
        <f>COUNTIF(I9:I152,"W")&amp;"-"&amp;COUNTIF(I9:I152,"L")</f>
        <v/>
      </c>
      <c r="G5" s="7">
        <f>COUNTIF(I9:I152,"W")+COUNTIF(I9:I152,"L")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/>
      <c r="J150" s="10" t="inlineStr"/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/>
      <c r="J151" s="10" t="inlineStr"/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/>
      <c r="J152" s="10" t="inlineStr"/>
      <c r="K152" s="10" t="inlineStr">
        <is>
          <t>DraftKings at pick time (4:00 PM CT)</t>
        </is>
      </c>
      <c r="L152" s="11" t="inlineStr">
        <is>
          <t>Yes</t>
        </is>
      </c>
    </row>
  </sheetData>
  <autoFilter ref="A8:L15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5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2026-10-26 16:00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2026-10-26T21:00:31Z</dcterms:created>
  <dcterms:modified xsi:type="dcterms:W3CDTF">2026-10-26T21:00:32Z</dcterms:modified>
</cp:coreProperties>
</file>