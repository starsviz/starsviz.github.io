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Results'!$A$8:$I$27</definedName>
    <definedName name="_xlnm._FilterDatabase" localSheetId="1" hidden="1">'2026-27'!$A$8:$L$152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SUM(F9:F27)</f>
        <v/>
      </c>
      <c r="C5" s="5">
        <f>IFERROR(COUNTIF(G9:G27,"W")/(COUNTIF(G9:G27,"W")+COUNTIF(G9:G27,"L")),"")</f>
        <v/>
      </c>
      <c r="E5" s="6">
        <f>COUNTIF(G9:G27,"W")&amp;"-"&amp;COUNTIF(G9:G27,"L")</f>
        <v/>
      </c>
      <c r="G5" s="7">
        <f>COUNTIF(G9:G27,"W")+COUNTIF(G9:G27,"L")</f>
        <v/>
      </c>
      <c r="I5" s="7">
        <f>COUNTA(B9:B27)-COUNTIF(G9:G27,"W")-COUNTIF(G9:G27,"L")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>
        <is>
          <t>L</t>
        </is>
      </c>
      <c r="H25" s="10" t="inlineStr">
        <is>
          <t>LAK 6, NYR 3</t>
        </is>
      </c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>
        <is>
          <t>L</t>
        </is>
      </c>
      <c r="H26" s="10" t="inlineStr">
        <is>
          <t>TOR 2, CGY 5</t>
        </is>
      </c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>
        <is>
          <t>W</t>
        </is>
      </c>
      <c r="H27" s="10" t="inlineStr">
        <is>
          <t>DET 4, EDM 3</t>
        </is>
      </c>
      <c r="I27" s="10" t="inlineStr">
        <is>
          <t>Bet the pick when it has a line from -198 to +150 and a differential of 14.61 or less; home or away.</t>
        </is>
      </c>
    </row>
  </sheetData>
  <autoFilter ref="A8:I27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7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SUM(H9:H152)</f>
        <v/>
      </c>
      <c r="C5" s="5">
        <f>IFERROR(COUNTIF(I9:I152,"W")/(COUNTIF(I9:I152,"W")+COUNTIF(I9:I152,"L")),"")</f>
        <v/>
      </c>
      <c r="E5" s="6">
        <f>COUNTIF(I9:I152,"W")&amp;"-"&amp;COUNTIF(I9:I152,"L")</f>
        <v/>
      </c>
      <c r="G5" s="7">
        <f>COUNTIF(I9:I152,"W")+COUNTIF(I9:I152,"L")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LAK 6, NYR 3</t>
        </is>
      </c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TOR 2, CGY 5</t>
        </is>
      </c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DET 4, EDM 3</t>
        </is>
      </c>
      <c r="K152" s="10" t="inlineStr">
        <is>
          <t>DraftKings at pick time (4:00 PM CT)</t>
        </is>
      </c>
      <c r="L152" s="11" t="inlineStr">
        <is>
          <t>Yes</t>
        </is>
      </c>
    </row>
  </sheetData>
  <autoFilter ref="A8:L15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5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  <row r="10">
      <c r="A10" s="16" t="n">
        <v>46322</v>
      </c>
      <c r="B10" s="17" t="inlineStr">
        <is>
          <t>Bet the pick when it has a line from -198 to +150 and a differential of 14.61 or less; home or away.</t>
        </is>
      </c>
      <c r="C10" s="18" t="inlineStr">
        <is>
          <t>51-21, +28.01 units</t>
        </is>
      </c>
      <c r="D10" s="18" t="inlineStr">
        <is>
          <t>86-56, +14.32 units</t>
        </is>
      </c>
      <c r="E10" s="19">
        <f>COUNTIFS('Dynamic Bet Results'!$A$9:$A$5000,A10)</f>
        <v/>
      </c>
      <c r="F10" s="20">
        <f>COUNTIFS('Dynamic Bet Results'!$A$9:$A$5000,A10,'Dynamic Bet Results'!$G$9:$G$5000,"W")&amp;"-"&amp;COUNTIFS('Dynamic Bet Results'!$A$9:$A$5000,A10,'Dynamic Bet Results'!$G$9:$G$5000,"L")</f>
        <v/>
      </c>
      <c r="G10" s="21">
        <f>SUMIFS('Dynamic Bet Results'!$F$9:$F$5000,'Dynamic Bet Results'!$A$9:$A$5000,A10)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2026-10-27 06:00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2026-10-27T11:00:27Z</dcterms:created>
  <dcterms:modified xsi:type="dcterms:W3CDTF">2026-10-27T11:00:27Z</dcterms:modified>
</cp:coreProperties>
</file>