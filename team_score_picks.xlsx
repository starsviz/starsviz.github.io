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Results'!$A$8:$I$27</definedName>
    <definedName name="_xlnm._FilterDatabase" localSheetId="1" hidden="1">'2026-27'!$A$8:$L$163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SUM(F9:F27)</f>
        <v/>
      </c>
      <c r="C5" s="5">
        <f>IFERROR(COUNTIF(G9:G27,"W")/(COUNTIF(G9:G27,"W")+COUNTIF(G9:G27,"L")),"")</f>
        <v/>
      </c>
      <c r="E5" s="6">
        <f>COUNTIF(G9:G27,"W")&amp;"-"&amp;COUNTIF(G9:G27,"L")</f>
        <v/>
      </c>
      <c r="G5" s="7">
        <f>COUNTIF(G9:G27,"W")+COUNTIF(G9:G27,"L")</f>
        <v/>
      </c>
      <c r="I5" s="7">
        <f>COUNTA(B9:B27)-COUNTIF(G9:G27,"W")-COUNTIF(G9:G27,"L")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>
        <is>
          <t>W</t>
        </is>
      </c>
      <c r="H23" s="10" t="inlineStr">
        <is>
          <t>FLA 3, CHI 2</t>
        </is>
      </c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>
        <is>
          <t>W</t>
        </is>
      </c>
      <c r="H24" s="10" t="inlineStr">
        <is>
          <t>NYI 3, DAL 6</t>
        </is>
      </c>
      <c r="I24" s="10" t="inlineStr">
        <is>
          <t>Bet the pick when it has a line from -198 to +150 and a differential of 14.61 or less; home or away.</t>
        </is>
      </c>
    </row>
    <row r="25">
      <c r="A25" s="9" t="n">
        <v>46321</v>
      </c>
      <c r="B25" s="10" t="inlineStr">
        <is>
          <t>LAK @ NYR</t>
        </is>
      </c>
      <c r="C25" s="11" t="inlineStr">
        <is>
          <t>NYR</t>
        </is>
      </c>
      <c r="D25" s="12" t="n">
        <v>-135</v>
      </c>
      <c r="E25" s="13" t="n">
        <v>12.83</v>
      </c>
      <c r="F25" s="14">
        <f>IF(AND(G25&lt;&gt;"W",G25&lt;&gt;"L"),"",IF(G25="W",IF(D25&gt;0,D25/100,1),IF(D25&lt;0,D25/100,-1)))</f>
        <v/>
      </c>
      <c r="G25" s="11" t="inlineStr">
        <is>
          <t>L</t>
        </is>
      </c>
      <c r="H25" s="10" t="inlineStr">
        <is>
          <t>LAK 6, NYR 3</t>
        </is>
      </c>
      <c r="I25" s="10" t="inlineStr">
        <is>
          <t>Bet the pick when it has a line from -198 to +150 and a differential of 14.61 or less; home or away.</t>
        </is>
      </c>
    </row>
    <row r="26">
      <c r="A26" s="9" t="n">
        <v>46321</v>
      </c>
      <c r="B26" s="10" t="inlineStr">
        <is>
          <t>TOR @ CGY</t>
        </is>
      </c>
      <c r="C26" s="11" t="inlineStr">
        <is>
          <t>TOR</t>
        </is>
      </c>
      <c r="D26" s="12" t="n">
        <v>-135</v>
      </c>
      <c r="E26" s="13" t="n">
        <v>10.3</v>
      </c>
      <c r="F26" s="14">
        <f>IF(AND(G26&lt;&gt;"W",G26&lt;&gt;"L"),"",IF(G26="W",IF(D26&gt;0,D26/100,1),IF(D26&lt;0,D26/100,-1)))</f>
        <v/>
      </c>
      <c r="G26" s="11" t="inlineStr">
        <is>
          <t>L</t>
        </is>
      </c>
      <c r="H26" s="10" t="inlineStr">
        <is>
          <t>TOR 2, CGY 5</t>
        </is>
      </c>
      <c r="I26" s="10" t="inlineStr">
        <is>
          <t>Bet the pick when it has a line from -198 to +150 and a differential of 14.61 or less; home or away.</t>
        </is>
      </c>
    </row>
    <row r="27">
      <c r="A27" s="9" t="n">
        <v>46321</v>
      </c>
      <c r="B27" s="10" t="inlineStr">
        <is>
          <t>DET @ EDM</t>
        </is>
      </c>
      <c r="C27" s="11" t="inlineStr">
        <is>
          <t>DET</t>
        </is>
      </c>
      <c r="D27" s="12" t="n">
        <v>150</v>
      </c>
      <c r="E27" s="13" t="n">
        <v>10.3</v>
      </c>
      <c r="F27" s="14">
        <f>IF(AND(G27&lt;&gt;"W",G27&lt;&gt;"L"),"",IF(G27="W",IF(D27&gt;0,D27/100,1),IF(D27&lt;0,D27/100,-1)))</f>
        <v/>
      </c>
      <c r="G27" s="11" t="inlineStr">
        <is>
          <t>W</t>
        </is>
      </c>
      <c r="H27" s="10" t="inlineStr">
        <is>
          <t>DET 4, EDM 3</t>
        </is>
      </c>
      <c r="I27" s="10" t="inlineStr">
        <is>
          <t>Bet the pick when it has a line from -198 to +150 and a differential of 14.61 or less; home or away.</t>
        </is>
      </c>
    </row>
  </sheetData>
  <autoFilter ref="A8:I27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27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 line from -198 to +150 and a differential of 14.61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SUM(H9:H163)</f>
        <v/>
      </c>
      <c r="C5" s="5">
        <f>IFERROR(COUNTIF(I9:I163,"W")/(COUNTIF(I9:I163,"W")+COUNTIF(I9:I163,"L")),"")</f>
        <v/>
      </c>
      <c r="E5" s="6">
        <f>COUNTIF(I9:I163,"W")&amp;"-"&amp;COUNTIF(I9:I163,"L")</f>
        <v/>
      </c>
      <c r="G5" s="7">
        <f>COUNTIF(I9:I163,"W")+COUNTIF(I9:I163,"L")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FLA 3, CHI 2</t>
        </is>
      </c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NYI 3, DAL 6</t>
        </is>
      </c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MTL 2, WPG 1</t>
        </is>
      </c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COL 2, NSH 6</t>
        </is>
      </c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>
        <is>
          <t>W</t>
        </is>
      </c>
      <c r="J149" s="10" t="inlineStr">
        <is>
          <t>MIN 4, VAN 2</t>
        </is>
      </c>
      <c r="K149" s="10" t="inlineStr">
        <is>
          <t>DraftKings at pick time (12:00 PM CT)</t>
        </is>
      </c>
      <c r="L149" s="11" t="inlineStr">
        <is>
          <t>No</t>
        </is>
      </c>
    </row>
    <row r="150">
      <c r="A150" s="9" t="n">
        <v>46321</v>
      </c>
      <c r="B150" s="10" t="inlineStr">
        <is>
          <t>LAK @ NYR</t>
        </is>
      </c>
      <c r="C150" s="13" t="n">
        <v>58.48</v>
      </c>
      <c r="D150" s="13" t="n">
        <v>71.31</v>
      </c>
      <c r="E150" s="13">
        <f>IF(OR(C150="",D150=""),"",ABS(C150-D150))</f>
        <v/>
      </c>
      <c r="F150" s="11" t="inlineStr">
        <is>
          <t>NYR</t>
        </is>
      </c>
      <c r="G150" s="12" t="n">
        <v>-135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LAK 6, NYR 3</t>
        </is>
      </c>
      <c r="K150" s="10" t="inlineStr">
        <is>
          <t>DraftKings at pick time (4:00 PM CT)</t>
        </is>
      </c>
      <c r="L150" s="11" t="inlineStr">
        <is>
          <t>Yes</t>
        </is>
      </c>
    </row>
    <row r="151">
      <c r="A151" s="9" t="n">
        <v>46321</v>
      </c>
      <c r="B151" s="10" t="inlineStr">
        <is>
          <t>TOR @ CGY</t>
        </is>
      </c>
      <c r="C151" s="13" t="n">
        <v>83.91</v>
      </c>
      <c r="D151" s="13" t="n">
        <v>73.61</v>
      </c>
      <c r="E151" s="13">
        <f>IF(OR(C151="",D151=""),"",ABS(C151-D151))</f>
        <v/>
      </c>
      <c r="F151" s="11" t="inlineStr">
        <is>
          <t>TOR</t>
        </is>
      </c>
      <c r="G151" s="12" t="n">
        <v>-135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TOR 2, CGY 5</t>
        </is>
      </c>
      <c r="K151" s="10" t="inlineStr">
        <is>
          <t>DraftKings at pick time (4:00 PM CT)</t>
        </is>
      </c>
      <c r="L151" s="11" t="inlineStr">
        <is>
          <t>Yes</t>
        </is>
      </c>
    </row>
    <row r="152">
      <c r="A152" s="9" t="n">
        <v>46321</v>
      </c>
      <c r="B152" s="10" t="inlineStr">
        <is>
          <t>DET @ EDM</t>
        </is>
      </c>
      <c r="C152" s="13" t="n">
        <v>66.39</v>
      </c>
      <c r="D152" s="13" t="n">
        <v>56.09</v>
      </c>
      <c r="E152" s="13">
        <f>IF(OR(C152="",D152=""),"",ABS(C152-D152))</f>
        <v/>
      </c>
      <c r="F152" s="11" t="inlineStr">
        <is>
          <t>DET</t>
        </is>
      </c>
      <c r="G152" s="12" t="n">
        <v>150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DET 4, EDM 3</t>
        </is>
      </c>
      <c r="K152" s="10" t="inlineStr">
        <is>
          <t>DraftKings at pick time (4:00 PM CT)</t>
        </is>
      </c>
      <c r="L152" s="11" t="inlineStr">
        <is>
          <t>Yes</t>
        </is>
      </c>
    </row>
    <row r="153">
      <c r="A153" s="9" t="n">
        <v>46322</v>
      </c>
      <c r="B153" s="10" t="inlineStr">
        <is>
          <t>CBJ @ PHI</t>
        </is>
      </c>
      <c r="C153" s="13" t="n">
        <v>71.97</v>
      </c>
      <c r="D153" s="13" t="n">
        <v>65.64</v>
      </c>
      <c r="E153" s="13">
        <f>IF(OR(C153="",D153=""),"",ABS(C153-D153))</f>
        <v/>
      </c>
      <c r="F153" s="11" t="inlineStr">
        <is>
          <t>CBJ</t>
        </is>
      </c>
      <c r="G153" s="12" t="n"/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CBJ 4, PHI 3</t>
        </is>
      </c>
      <c r="K153" s="10" t="inlineStr">
        <is>
          <t>no line at pick time</t>
        </is>
      </c>
      <c r="L153" s="11" t="inlineStr">
        <is>
          <t>No</t>
        </is>
      </c>
    </row>
    <row r="154">
      <c r="A154" s="9" t="n">
        <v>46322</v>
      </c>
      <c r="B154" s="10" t="inlineStr">
        <is>
          <t>BOS @ CAR</t>
        </is>
      </c>
      <c r="C154" s="13" t="n">
        <v>83.38</v>
      </c>
      <c r="D154" s="13" t="n">
        <v>90.53</v>
      </c>
      <c r="E154" s="13">
        <f>IF(OR(C154="",D154=""),"",ABS(C154-D154))</f>
        <v/>
      </c>
      <c r="F154" s="11" t="inlineStr">
        <is>
          <t>CAR</t>
        </is>
      </c>
      <c r="G154" s="12" t="n"/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BOS 1, CAR 2</t>
        </is>
      </c>
      <c r="K154" s="10" t="inlineStr">
        <is>
          <t>no line at pick time</t>
        </is>
      </c>
      <c r="L154" s="11" t="inlineStr">
        <is>
          <t>No</t>
        </is>
      </c>
    </row>
    <row r="155">
      <c r="A155" s="9" t="n">
        <v>46322</v>
      </c>
      <c r="B155" s="10" t="inlineStr">
        <is>
          <t>LAK @ CHI</t>
        </is>
      </c>
      <c r="C155" s="13" t="n">
        <v>77.3</v>
      </c>
      <c r="D155" s="13" t="n">
        <v>61.34</v>
      </c>
      <c r="E155" s="13">
        <f>IF(OR(C155="",D155=""),"",ABS(C155-D155))</f>
        <v/>
      </c>
      <c r="F155" s="11" t="inlineStr">
        <is>
          <t>LAK</t>
        </is>
      </c>
      <c r="G155" s="12" t="n"/>
      <c r="H155" s="14">
        <f>IF(OR(F155="",G155="",AND(I155&lt;&gt;"W",I155&lt;&gt;"L")),"",IF(I155="W",IF(G155&gt;0,G155/100,1),IF(G155&lt;0,G155/100,-1)))</f>
        <v/>
      </c>
      <c r="I155" s="11" t="inlineStr">
        <is>
          <t>L</t>
        </is>
      </c>
      <c r="J155" s="10" t="inlineStr">
        <is>
          <t>LAK 1, CHI 2</t>
        </is>
      </c>
      <c r="K155" s="10" t="inlineStr">
        <is>
          <t>no line at pick time</t>
        </is>
      </c>
      <c r="L155" s="11" t="inlineStr">
        <is>
          <t>No</t>
        </is>
      </c>
    </row>
    <row r="156">
      <c r="A156" s="9" t="n">
        <v>46322</v>
      </c>
      <c r="B156" s="10" t="inlineStr">
        <is>
          <t>MTL @ STL</t>
        </is>
      </c>
      <c r="C156" s="13" t="n">
        <v>72.45999999999999</v>
      </c>
      <c r="D156" s="13" t="n">
        <v>49.47</v>
      </c>
      <c r="E156" s="13">
        <f>IF(OR(C156="",D156=""),"",ABS(C156-D156))</f>
        <v/>
      </c>
      <c r="F156" s="11" t="inlineStr">
        <is>
          <t>MTL</t>
        </is>
      </c>
      <c r="G156" s="12" t="n"/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MTL 2, STL 0</t>
        </is>
      </c>
      <c r="K156" s="10" t="inlineStr">
        <is>
          <t>no line at pick time</t>
        </is>
      </c>
      <c r="L156" s="11" t="inlineStr">
        <is>
          <t>No</t>
        </is>
      </c>
    </row>
    <row r="157">
      <c r="A157" s="9" t="n">
        <v>46322</v>
      </c>
      <c r="B157" s="10" t="inlineStr">
        <is>
          <t>NYI @ NSH</t>
        </is>
      </c>
      <c r="C157" s="13" t="n">
        <v>49.58</v>
      </c>
      <c r="D157" s="13" t="n">
        <v>86.8</v>
      </c>
      <c r="E157" s="13">
        <f>IF(OR(C157="",D157=""),"",ABS(C157-D157))</f>
        <v/>
      </c>
      <c r="F157" s="11" t="inlineStr">
        <is>
          <t>NSH</t>
        </is>
      </c>
      <c r="G157" s="12" t="n"/>
      <c r="H157" s="14">
        <f>IF(OR(F157="",G157="",AND(I157&lt;&gt;"W",I157&lt;&gt;"L")),"",IF(I157="W",IF(G157&gt;0,G157/100,1),IF(G157&lt;0,G157/100,-1)))</f>
        <v/>
      </c>
      <c r="I157" s="11" t="inlineStr">
        <is>
          <t>L</t>
        </is>
      </c>
      <c r="J157" s="10" t="inlineStr">
        <is>
          <t>NYI 4, NSH 3</t>
        </is>
      </c>
      <c r="K157" s="10" t="inlineStr">
        <is>
          <t>no line at pick time</t>
        </is>
      </c>
      <c r="L157" s="11" t="inlineStr">
        <is>
          <t>No</t>
        </is>
      </c>
    </row>
    <row r="158">
      <c r="A158" s="9" t="n">
        <v>46322</v>
      </c>
      <c r="B158" s="10" t="inlineStr">
        <is>
          <t>NJD @ DAL</t>
        </is>
      </c>
      <c r="C158" s="13" t="n">
        <v>81.52</v>
      </c>
      <c r="D158" s="13" t="n">
        <v>90.42</v>
      </c>
      <c r="E158" s="13">
        <f>IF(OR(C158="",D158=""),"",ABS(C158-D158))</f>
        <v/>
      </c>
      <c r="F158" s="11" t="inlineStr">
        <is>
          <t>DAL</t>
        </is>
      </c>
      <c r="G158" s="12" t="n"/>
      <c r="H158" s="14">
        <f>IF(OR(F158="",G158="",AND(I158&lt;&gt;"W",I158&lt;&gt;"L")),"",IF(I158="W",IF(G158&gt;0,G158/100,1),IF(G158&lt;0,G158/100,-1)))</f>
        <v/>
      </c>
      <c r="I158" s="11" t="inlineStr">
        <is>
          <t>L</t>
        </is>
      </c>
      <c r="J158" s="10" t="inlineStr">
        <is>
          <t>NJD 5, DAL 1</t>
        </is>
      </c>
      <c r="K158" s="10" t="inlineStr">
        <is>
          <t>no line at pick time</t>
        </is>
      </c>
      <c r="L158" s="11" t="inlineStr">
        <is>
          <t>No</t>
        </is>
      </c>
    </row>
    <row r="159">
      <c r="A159" s="9" t="n">
        <v>46322</v>
      </c>
      <c r="B159" s="10" t="inlineStr">
        <is>
          <t>FLA @ WPG</t>
        </is>
      </c>
      <c r="C159" s="13" t="n">
        <v>78.66</v>
      </c>
      <c r="D159" s="13" t="n">
        <v>67.54000000000001</v>
      </c>
      <c r="E159" s="13">
        <f>IF(OR(C159="",D159=""),"",ABS(C159-D159))</f>
        <v/>
      </c>
      <c r="F159" s="11" t="inlineStr">
        <is>
          <t>FLA</t>
        </is>
      </c>
      <c r="G159" s="12" t="n"/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FLA 5, WPG 1</t>
        </is>
      </c>
      <c r="K159" s="10" t="inlineStr">
        <is>
          <t>no line at pick time</t>
        </is>
      </c>
      <c r="L159" s="11" t="inlineStr">
        <is>
          <t>No</t>
        </is>
      </c>
    </row>
    <row r="160">
      <c r="A160" s="9" t="n">
        <v>46322</v>
      </c>
      <c r="B160" s="10" t="inlineStr">
        <is>
          <t>MIN @ UTA</t>
        </is>
      </c>
      <c r="C160" s="13" t="n">
        <v>88.37</v>
      </c>
      <c r="D160" s="13" t="n">
        <v>72.31</v>
      </c>
      <c r="E160" s="13">
        <f>IF(OR(C160="",D160=""),"",ABS(C160-D160))</f>
        <v/>
      </c>
      <c r="F160" s="11" t="inlineStr">
        <is>
          <t>MIN</t>
        </is>
      </c>
      <c r="G160" s="12" t="n"/>
      <c r="H160" s="14">
        <f>IF(OR(F160="",G160="",AND(I160&lt;&gt;"W",I160&lt;&gt;"L")),"",IF(I160="W",IF(G160&gt;0,G160/100,1),IF(G160&lt;0,G160/100,-1)))</f>
        <v/>
      </c>
      <c r="I160" s="11" t="inlineStr">
        <is>
          <t>W</t>
        </is>
      </c>
      <c r="J160" s="10" t="inlineStr">
        <is>
          <t>MIN 3, UTA 1</t>
        </is>
      </c>
      <c r="K160" s="10" t="inlineStr">
        <is>
          <t>no line at pick time</t>
        </is>
      </c>
      <c r="L160" s="11" t="inlineStr">
        <is>
          <t>No</t>
        </is>
      </c>
    </row>
    <row r="161">
      <c r="A161" s="9" t="n">
        <v>46322</v>
      </c>
      <c r="B161" s="10" t="inlineStr">
        <is>
          <t>OTT @ VGK</t>
        </is>
      </c>
      <c r="C161" s="13" t="n">
        <v>68.69</v>
      </c>
      <c r="D161" s="13" t="n">
        <v>68.03</v>
      </c>
      <c r="E161" s="13">
        <f>IF(OR(C161="",D161=""),"",ABS(C161-D161))</f>
        <v/>
      </c>
      <c r="F161" s="11" t="inlineStr">
        <is>
          <t>OTT</t>
        </is>
      </c>
      <c r="G161" s="12" t="n"/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OTT 1, VGK 4</t>
        </is>
      </c>
      <c r="K161" s="10" t="inlineStr">
        <is>
          <t>no line at pick time</t>
        </is>
      </c>
      <c r="L161" s="11" t="inlineStr">
        <is>
          <t>No</t>
        </is>
      </c>
    </row>
    <row r="162">
      <c r="A162" s="9" t="n">
        <v>46322</v>
      </c>
      <c r="B162" s="10" t="inlineStr">
        <is>
          <t>VAN @ ANA</t>
        </is>
      </c>
      <c r="C162" s="13" t="n">
        <v>51.63</v>
      </c>
      <c r="D162" s="13" t="n">
        <v>74.36</v>
      </c>
      <c r="E162" s="13">
        <f>IF(OR(C162="",D162=""),"",ABS(C162-D162))</f>
        <v/>
      </c>
      <c r="F162" s="11" t="inlineStr">
        <is>
          <t>ANA</t>
        </is>
      </c>
      <c r="G162" s="12" t="n"/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VAN 6, ANA 5</t>
        </is>
      </c>
      <c r="K162" s="10" t="inlineStr">
        <is>
          <t>no line at pick time</t>
        </is>
      </c>
      <c r="L162" s="11" t="inlineStr">
        <is>
          <t>No</t>
        </is>
      </c>
    </row>
    <row r="163">
      <c r="A163" s="9" t="n">
        <v>46322</v>
      </c>
      <c r="B163" s="10" t="inlineStr">
        <is>
          <t>BUF @ SJS</t>
        </is>
      </c>
      <c r="C163" s="13" t="n">
        <v>63.39</v>
      </c>
      <c r="D163" s="13" t="n">
        <v>56.62</v>
      </c>
      <c r="E163" s="13">
        <f>IF(OR(C163="",D163=""),"",ABS(C163-D163))</f>
        <v/>
      </c>
      <c r="F163" s="11" t="inlineStr">
        <is>
          <t>BUF</t>
        </is>
      </c>
      <c r="G163" s="12" t="n"/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BUF 2, SJS 0</t>
        </is>
      </c>
      <c r="K163" s="10" t="inlineStr">
        <is>
          <t>no line at pick time</t>
        </is>
      </c>
      <c r="L163" s="11" t="inlineStr">
        <is>
          <t>No</t>
        </is>
      </c>
    </row>
  </sheetData>
  <autoFilter ref="A8:L163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63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  <row r="9">
      <c r="A9" s="16" t="n">
        <v>46321</v>
      </c>
      <c r="B9" s="17" t="inlineStr">
        <is>
          <t>Bet the pick when it has a line from -198 to +150 and a differential of 14.61 or less; home or away.</t>
        </is>
      </c>
      <c r="C9" s="18" t="inlineStr">
        <is>
          <t>50-19, +29.21 units</t>
        </is>
      </c>
      <c r="D9" s="18" t="inlineStr">
        <is>
          <t>85-54, +15.52 units</t>
        </is>
      </c>
      <c r="E9" s="19">
        <f>COUNTIFS('Dynamic Bet Results'!$A$9:$A$5000,A9)</f>
        <v/>
      </c>
      <c r="F9" s="20">
        <f>COUNTIFS('Dynamic Bet Results'!$A$9:$A$5000,A9,'Dynamic Bet Results'!$G$9:$G$5000,"W")&amp;"-"&amp;COUNTIFS('Dynamic Bet Results'!$A$9:$A$5000,A9,'Dynamic Bet Results'!$G$9:$G$5000,"L")</f>
        <v/>
      </c>
      <c r="G9" s="21">
        <f>SUMIFS('Dynamic Bet Results'!$F$9:$F$5000,'Dynamic Bet Results'!$A$9:$A$5000,A9)</f>
        <v/>
      </c>
    </row>
    <row r="10">
      <c r="A10" s="16" t="n">
        <v>46322</v>
      </c>
      <c r="B10" s="17" t="inlineStr">
        <is>
          <t>Bet the pick when it has a line from -198 to +150 and a differential of 14.61 or less; home or away.</t>
        </is>
      </c>
      <c r="C10" s="18" t="inlineStr">
        <is>
          <t>51-21, +28.01 units</t>
        </is>
      </c>
      <c r="D10" s="18" t="inlineStr">
        <is>
          <t>86-56, +14.32 units</t>
        </is>
      </c>
      <c r="E10" s="19">
        <f>COUNTIFS('Dynamic Bet Results'!$A$9:$A$5000,A10)</f>
        <v/>
      </c>
      <c r="F10" s="20">
        <f>COUNTIFS('Dynamic Bet Results'!$A$9:$A$5000,A10,'Dynamic Bet Results'!$G$9:$G$5000,"W")&amp;"-"&amp;COUNTIFS('Dynamic Bet Results'!$A$9:$A$5000,A10,'Dynamic Bet Results'!$G$9:$G$5000,"L")</f>
        <v/>
      </c>
      <c r="G10" s="21">
        <f>SUMIFS('Dynamic Bet Results'!$F$9:$F$5000,'Dynamic Bet Results'!$A$9:$A$5000,A10)</f>
        <v/>
      </c>
    </row>
    <row r="11">
      <c r="A11" s="16" t="n">
        <v>46323</v>
      </c>
      <c r="B11" s="17" t="inlineStr">
        <is>
          <t>Bet the pick when it has a line from -198 to +150 and a differential of 14.61 or less; home or away.</t>
        </is>
      </c>
      <c r="C11" s="18" t="inlineStr">
        <is>
          <t>51-21, +28.01 units</t>
        </is>
      </c>
      <c r="D11" s="18" t="inlineStr">
        <is>
          <t>86-56, +14.32 units</t>
        </is>
      </c>
      <c r="E11" s="19">
        <f>COUNTIFS('Dynamic Bet Results'!$A$9:$A$5000,A11)</f>
        <v/>
      </c>
      <c r="F11" s="20">
        <f>COUNTIFS('Dynamic Bet Results'!$A$9:$A$5000,A11,'Dynamic Bet Results'!$G$9:$G$5000,"W")&amp;"-"&amp;COUNTIFS('Dynamic Bet Results'!$A$9:$A$5000,A11,'Dynamic Bet Results'!$G$9:$G$5000,"L")</f>
        <v/>
      </c>
      <c r="G11" s="21">
        <f>SUMIFS('Dynamic Bet Results'!$F$9:$F$5000,'Dynamic Bet Results'!$A$9:$A$5000,A11)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2026-10-28 06:00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2026-10-28T11:00:38Z</dcterms:created>
  <dcterms:modified xsi:type="dcterms:W3CDTF">2026-10-28T11:00:38Z</dcterms:modified>
</cp:coreProperties>
</file>